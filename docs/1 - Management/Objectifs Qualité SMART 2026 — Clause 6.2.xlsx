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OneDrive\Bureau\iso\clause 6\6.2\dasboard\"/>
    </mc:Choice>
  </mc:AlternateContent>
  <xr:revisionPtr revIDLastSave="0" documentId="13_ncr:1_{01BC676B-1CB8-4FF8-8A26-8AD5CFC7BC1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00_DASHBOARD" sheetId="1" r:id="rId1"/>
    <sheet name="6.2.1 Objectifs SMART" sheetId="2" r:id="rId2"/>
    <sheet name="6.2.2 Plan d'Actions" sheetId="3" r:id="rId3"/>
    <sheet name="03_SUIVI_DATA" sheetId="4" r:id="rId4"/>
    <sheet name="_MOTEUR_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3" i="4" l="1"/>
  <c r="R52" i="4"/>
  <c r="R51" i="4"/>
  <c r="R50" i="4"/>
  <c r="R48" i="4"/>
  <c r="R47" i="4"/>
  <c r="R46" i="4"/>
  <c r="R44" i="4"/>
  <c r="R43" i="4"/>
  <c r="R42" i="4"/>
  <c r="R40" i="4"/>
  <c r="R39" i="4"/>
  <c r="R38" i="4"/>
  <c r="R37" i="4"/>
  <c r="R36" i="4"/>
  <c r="R34" i="4"/>
  <c r="R33" i="4"/>
  <c r="R32" i="4"/>
  <c r="R30" i="4"/>
  <c r="R29" i="4"/>
  <c r="R28" i="4"/>
  <c r="R26" i="4"/>
  <c r="R25" i="4"/>
  <c r="R24" i="4"/>
  <c r="R23" i="4"/>
  <c r="R22" i="4"/>
  <c r="R21" i="4"/>
  <c r="R20" i="4"/>
  <c r="R18" i="4"/>
  <c r="R17" i="4"/>
  <c r="R16" i="4"/>
  <c r="R15" i="4"/>
  <c r="R14" i="4"/>
  <c r="R13" i="4"/>
  <c r="R12" i="4"/>
  <c r="R10" i="4"/>
  <c r="R9" i="4"/>
  <c r="R8" i="4"/>
  <c r="R7" i="4"/>
  <c r="R6" i="4"/>
  <c r="L53" i="3"/>
  <c r="H53" i="3"/>
  <c r="L52" i="3"/>
  <c r="H52" i="3"/>
  <c r="L51" i="3"/>
  <c r="H51" i="3"/>
  <c r="L50" i="3"/>
  <c r="H50" i="3"/>
  <c r="L48" i="3"/>
  <c r="H48" i="3"/>
  <c r="L47" i="3"/>
  <c r="H47" i="3"/>
  <c r="L46" i="3"/>
  <c r="H46" i="3"/>
  <c r="L44" i="3"/>
  <c r="H44" i="3"/>
  <c r="L43" i="3"/>
  <c r="H43" i="3"/>
  <c r="L42" i="3"/>
  <c r="H42" i="3"/>
  <c r="L40" i="3"/>
  <c r="H40" i="3"/>
  <c r="L39" i="3"/>
  <c r="H39" i="3"/>
  <c r="L38" i="3"/>
  <c r="H38" i="3"/>
  <c r="L37" i="3"/>
  <c r="H37" i="3"/>
  <c r="L36" i="3"/>
  <c r="H36" i="3"/>
  <c r="L34" i="3"/>
  <c r="H34" i="3"/>
  <c r="L33" i="3"/>
  <c r="H33" i="3"/>
  <c r="L32" i="3"/>
  <c r="H32" i="3"/>
  <c r="L30" i="3"/>
  <c r="H30" i="3"/>
  <c r="L29" i="3"/>
  <c r="H29" i="3"/>
  <c r="L28" i="3"/>
  <c r="H28" i="3"/>
  <c r="L26" i="3"/>
  <c r="H26" i="3"/>
  <c r="L25" i="3"/>
  <c r="H25" i="3"/>
  <c r="L24" i="3"/>
  <c r="H24" i="3"/>
  <c r="L23" i="3"/>
  <c r="H23" i="3"/>
  <c r="L22" i="3"/>
  <c r="H22" i="3"/>
  <c r="L21" i="3"/>
  <c r="H21" i="3"/>
  <c r="L20" i="3"/>
  <c r="H20" i="3"/>
  <c r="L18" i="3"/>
  <c r="H18" i="3"/>
  <c r="L17" i="3"/>
  <c r="H17" i="3"/>
  <c r="L16" i="3"/>
  <c r="H16" i="3"/>
  <c r="L15" i="3"/>
  <c r="H15" i="3"/>
  <c r="L14" i="3"/>
  <c r="H14" i="3"/>
  <c r="L13" i="3"/>
  <c r="H13" i="3"/>
  <c r="L12" i="3"/>
  <c r="H12" i="3"/>
  <c r="L10" i="3"/>
  <c r="H10" i="3"/>
  <c r="L9" i="3"/>
  <c r="H9" i="3"/>
  <c r="L8" i="3"/>
  <c r="H8" i="3"/>
  <c r="L7" i="3"/>
  <c r="H7" i="3"/>
  <c r="L6" i="3"/>
  <c r="H6" i="3"/>
  <c r="K53" i="2"/>
  <c r="L53" i="2" s="1"/>
  <c r="K52" i="2"/>
  <c r="K51" i="2"/>
  <c r="L51" i="2" s="1"/>
  <c r="M51" i="2" s="1"/>
  <c r="K50" i="2"/>
  <c r="L50" i="2" s="1"/>
  <c r="K48" i="2"/>
  <c r="K47" i="2"/>
  <c r="K46" i="2"/>
  <c r="L46" i="2" s="1"/>
  <c r="K44" i="2"/>
  <c r="L44" i="2" s="1"/>
  <c r="M44" i="2" s="1"/>
  <c r="K43" i="2"/>
  <c r="K42" i="2"/>
  <c r="K40" i="2"/>
  <c r="L40" i="2" s="1"/>
  <c r="M40" i="2" s="1"/>
  <c r="K39" i="2"/>
  <c r="L39" i="2" s="1"/>
  <c r="M39" i="2" s="1"/>
  <c r="K38" i="2"/>
  <c r="K37" i="2"/>
  <c r="K36" i="2"/>
  <c r="L36" i="2" s="1"/>
  <c r="K34" i="2"/>
  <c r="L34" i="2" s="1"/>
  <c r="M34" i="2" s="1"/>
  <c r="K33" i="2"/>
  <c r="K32" i="2"/>
  <c r="L32" i="2" s="1"/>
  <c r="K30" i="2"/>
  <c r="L30" i="2" s="1"/>
  <c r="M30" i="2" s="1"/>
  <c r="K29" i="2"/>
  <c r="L29" i="2" s="1"/>
  <c r="M29" i="2" s="1"/>
  <c r="K28" i="2"/>
  <c r="K26" i="2"/>
  <c r="K25" i="2"/>
  <c r="L25" i="2" s="1"/>
  <c r="M25" i="2" s="1"/>
  <c r="K24" i="2"/>
  <c r="L24" i="2" s="1"/>
  <c r="M24" i="2" s="1"/>
  <c r="K23" i="2"/>
  <c r="K22" i="2"/>
  <c r="K21" i="2"/>
  <c r="L21" i="2" s="1"/>
  <c r="M21" i="2" s="1"/>
  <c r="K20" i="2"/>
  <c r="L20" i="2" s="1"/>
  <c r="K18" i="2"/>
  <c r="K17" i="2"/>
  <c r="K16" i="2"/>
  <c r="L16" i="2" s="1"/>
  <c r="M16" i="2" s="1"/>
  <c r="K15" i="2"/>
  <c r="L15" i="2" s="1"/>
  <c r="M15" i="2" s="1"/>
  <c r="K14" i="2"/>
  <c r="K13" i="2"/>
  <c r="L13" i="2" s="1"/>
  <c r="K12" i="2"/>
  <c r="L12" i="2" s="1"/>
  <c r="K10" i="2"/>
  <c r="L10" i="2" s="1"/>
  <c r="M10" i="2" s="1"/>
  <c r="K9" i="2"/>
  <c r="K8" i="2"/>
  <c r="K7" i="2"/>
  <c r="L7" i="2" s="1"/>
  <c r="K6" i="2"/>
  <c r="L6" i="2" s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H3" i="1"/>
  <c r="F6" i="1" l="1"/>
  <c r="M32" i="2"/>
  <c r="L42" i="2"/>
  <c r="M42" i="2" s="1"/>
  <c r="M13" i="2"/>
  <c r="L22" i="2"/>
  <c r="M22" i="2" s="1"/>
  <c r="L52" i="2"/>
  <c r="C10" i="5" s="1"/>
  <c r="H6" i="1"/>
  <c r="M7" i="2"/>
  <c r="M36" i="2"/>
  <c r="M12" i="2"/>
  <c r="M46" i="2"/>
  <c r="M20" i="2"/>
  <c r="L23" i="2"/>
  <c r="L33" i="2"/>
  <c r="M33" i="2" s="1"/>
  <c r="L9" i="2"/>
  <c r="M9" i="2" s="1"/>
  <c r="L18" i="2"/>
  <c r="M18" i="2" s="1"/>
  <c r="L28" i="2"/>
  <c r="C5" i="5" s="1"/>
  <c r="M25" i="1" s="1"/>
  <c r="L38" i="2"/>
  <c r="M38" i="2" s="1"/>
  <c r="L48" i="2"/>
  <c r="M48" i="2" s="1"/>
  <c r="L14" i="2"/>
  <c r="L43" i="2"/>
  <c r="L8" i="2"/>
  <c r="L17" i="2"/>
  <c r="M17" i="2" s="1"/>
  <c r="L26" i="2"/>
  <c r="M26" i="2" s="1"/>
  <c r="L37" i="2"/>
  <c r="L47" i="2"/>
  <c r="M47" i="2" s="1"/>
  <c r="M53" i="2"/>
  <c r="M50" i="2"/>
  <c r="C6" i="5" l="1"/>
  <c r="M26" i="1" s="1"/>
  <c r="C2" i="5"/>
  <c r="M22" i="1" s="1"/>
  <c r="C8" i="5"/>
  <c r="M28" i="1" s="1"/>
  <c r="C9" i="5"/>
  <c r="M29" i="1" s="1"/>
  <c r="C7" i="5"/>
  <c r="M27" i="1" s="1"/>
  <c r="M52" i="2"/>
  <c r="M43" i="2"/>
  <c r="C4" i="5"/>
  <c r="M24" i="1" s="1"/>
  <c r="C3" i="5"/>
  <c r="M23" i="1" s="1"/>
  <c r="M8" i="2"/>
  <c r="M14" i="2"/>
  <c r="M28" i="2"/>
  <c r="M23" i="2"/>
  <c r="B6" i="1"/>
  <c r="M37" i="2"/>
  <c r="D6" i="1" l="1"/>
</calcChain>
</file>

<file path=xl/sharedStrings.xml><?xml version="1.0" encoding="utf-8"?>
<sst xmlns="http://schemas.openxmlformats.org/spreadsheetml/2006/main" count="1076" uniqueCount="536">
  <si>
    <t>🏢  SFM TECHNOLOGIES  —  PILOTAGE DE LA PERFORMANCE SMQ 2026</t>
  </si>
  <si>
    <t>COCKPIT DE PILOTAGE  ·  SMQ ISO 9001:2015  ·  Tableau de bord dynamique</t>
  </si>
  <si>
    <t>📅 Mois :</t>
  </si>
  <si>
    <t>📊  PERFORMANCE GLOBALE</t>
  </si>
  <si>
    <t>🚨  ALERTES CRITIQUES</t>
  </si>
  <si>
    <t>🏅  ISO 9001 OQ-37</t>
  </si>
  <si>
    <t>⏰  RETARDS PLAN</t>
  </si>
  <si>
    <t>Moy. % Atteinte — 40 KPI</t>
  </si>
  <si>
    <t>KPI &lt; 50% — zone rouge</t>
  </si>
  <si>
    <t>Priorité PFE — Certification</t>
  </si>
  <si>
    <t>Actions plan dépassées</t>
  </si>
  <si>
    <t>📡  RADAR DE PERFORMANCE PAR PROCESSUS — SMQ SFM TECHNOLOGIES 2026</t>
  </si>
  <si>
    <t>⚠️  ACTIONS CORRECTIVES PRIORITAIRES — EN RETARD</t>
  </si>
  <si>
    <t>Réf.</t>
  </si>
  <si>
    <t>Action (résumé)</t>
  </si>
  <si>
    <t>Statut</t>
  </si>
  <si>
    <t>📋  SYNTHÈSE  —  % Atteinte Moyen par Processus</t>
  </si>
  <si>
    <t>Processus</t>
  </si>
  <si>
    <t>Libellé</t>
  </si>
  <si>
    <t>Score</t>
  </si>
  <si>
    <t>SFM TECHNOLOGIES  ·  ISO 9001:2015  ·  Dashboard dynamique  ·  Données : 01_OBJECTIFS + 02_PLAN_ACTIONS  ·  © PFE 2026</t>
  </si>
  <si>
    <t>OBJECTIFS QUALITÉ — CLAUSE 6.2.1  |  SFM TECHNOLOGIES  |  ISO 9001:2015</t>
  </si>
  <si>
    <t>6.2.1 — Les objectifs qualité sont cohérents avec la politique qualité, mesurables, surveillés, communiqués et mis à jour</t>
  </si>
  <si>
    <t>Clause
ISO 9001</t>
  </si>
  <si>
    <t>Axe Politique Qualité
(PQ-SFM)</t>
  </si>
  <si>
    <t>Objectif SMART 2026</t>
  </si>
  <si>
    <t>Indicateur KPI</t>
  </si>
  <si>
    <t>Fréquence
Suivi</t>
  </si>
  <si>
    <t>Sens
KPI</t>
  </si>
  <si>
    <t>Valeur Actuelle
(2025)</t>
  </si>
  <si>
    <t>Cible 2026</t>
  </si>
  <si>
    <t>Réalisé
(actuel)</t>
  </si>
  <si>
    <t>% Atteinte</t>
  </si>
  <si>
    <t>Pilote
Processus</t>
  </si>
  <si>
    <t>Responsable
Suivi Qualité</t>
  </si>
  <si>
    <t xml:space="preserve"> PM1 — MANAGEMENT : Planification Stratégique &amp; Objectifs Qualité</t>
  </si>
  <si>
    <t>OQ-01</t>
  </si>
  <si>
    <t xml:space="preserve">PM1 </t>
  </si>
  <si>
    <t>6.2 · 9.3</t>
  </si>
  <si>
    <t>Pilotage par la
performance</t>
  </si>
  <si>
    <t>Atteindre un CA supérieur de 30% à 2024 avec un résultat net minimum de 30% sur l'exercice 2026</t>
  </si>
  <si>
    <t>CA 2026 / CA 2024 × 100 ; Résultat net / CA × 100</t>
  </si>
  <si>
    <t>Trimestriel</t>
  </si>
  <si>
    <t>MAX</t>
  </si>
  <si>
    <t>Directeur Général</t>
  </si>
  <si>
    <t>RAF / PS2</t>
  </si>
  <si>
    <t>OQ-02</t>
  </si>
  <si>
    <t>6.1 · 6.2</t>
  </si>
  <si>
    <t>Figer les roadmaps annuelles avec 1 modification maximum par an pour stabiliser la qualité et la rentabilité</t>
  </si>
  <si>
    <t>Nb modifications roadmap / an</t>
  </si>
  <si>
    <t>Semestriel</t>
  </si>
  <si>
    <t>MIN</t>
  </si>
  <si>
    <t>≥ 3 modif.</t>
  </si>
  <si>
    <t>PMO-Qualité</t>
  </si>
  <si>
    <t>OQ-03</t>
  </si>
  <si>
    <t>7.1.6</t>
  </si>
  <si>
    <t>Innovation et
excellence technologique</t>
  </si>
  <si>
    <t>Intégrer l'IA dans tous les processus SFM pour un gain de productivité de 20 à 30% mesuré en 2026</t>
  </si>
  <si>
    <t>% gain productivité IA mesuré vs baseline 2025</t>
  </si>
  <si>
    <t>Baseline</t>
  </si>
  <si>
    <t>Dir. Exécutif Digital</t>
  </si>
  <si>
    <t>OQ-04</t>
  </si>
  <si>
    <t>8.4</t>
  </si>
  <si>
    <t>Performance
commerciale</t>
  </si>
  <si>
    <t>Expansion vers 6 pays africains stratégiques — développer le réseau de partenaires locaux</t>
  </si>
  <si>
    <t>Nb pays avec partenaire local actif / 6</t>
  </si>
  <si>
    <t>0</t>
  </si>
  <si>
    <t>Dir. Commercial</t>
  </si>
  <si>
    <t>OQ-05</t>
  </si>
  <si>
    <t>8.2</t>
  </si>
  <si>
    <t>Tenir 50% du temps des équipes techniques contractualisé — maximiser la rentabilité des BU</t>
  </si>
  <si>
    <t>% temps équipes tech. contractualisé / temps disponible</t>
  </si>
  <si>
    <t>Mensuel</t>
  </si>
  <si>
    <t>~35%</t>
  </si>
  <si>
    <t>Tous Chefs BU</t>
  </si>
  <si>
    <t xml:space="preserve"> PR1 — RÉALISATION : BU Conseil, Ingénierie &amp; Solutions Telco</t>
  </si>
  <si>
    <t>OQ-06</t>
  </si>
  <si>
    <t>PR1</t>
  </si>
  <si>
    <t>Démarrer l'activité cybersécurité avec 2 opportunités concrètes signées dans l'année (contrats conseil)</t>
  </si>
  <si>
    <t>Nb contrats cybersécurité signés / an</t>
  </si>
  <si>
    <t>Dir. Exécutif Telco</t>
  </si>
  <si>
    <t>Resp. Commercial</t>
  </si>
  <si>
    <t>OQ-07</t>
  </si>
  <si>
    <t>8.5</t>
  </si>
  <si>
    <t>Migrer le module OrQoEstra QoS vers le cloud — complétion avant mi-2026, tester chez 5 régulateurs africains</t>
  </si>
  <si>
    <t>Migration réalisée (Oui/Non) ; Nb régulateurs testeurs</t>
  </si>
  <si>
    <t>Non / 0</t>
  </si>
  <si>
    <t>Resp. IT / PS3</t>
  </si>
  <si>
    <t>OQ-08</t>
  </si>
  <si>
    <t>8.1</t>
  </si>
  <si>
    <t>Reprendre et finaliser QoEntum F avec prototype fonctionnel opérationnel livré en 2026</t>
  </si>
  <si>
    <t>Prototype fonctionnel livré (Oui/Non)</t>
  </si>
  <si>
    <t>Non</t>
  </si>
  <si>
    <t>Chef BU R&amp;D</t>
  </si>
  <si>
    <t>OQ-09</t>
  </si>
  <si>
    <t>Satisfaction et
fidélisation clients</t>
  </si>
  <si>
    <t>Faire de SFM une référence conseil TIC — 5 études publiées et 10 projets TIC signés dans l'année</t>
  </si>
  <si>
    <t>Nb études publiées + Nb projets TIC signés</t>
  </si>
  <si>
    <t>0 / 0</t>
  </si>
  <si>
    <t>OQ-10</t>
  </si>
  <si>
    <t>Boucler les projets en cours avec attestations de bonne fin : 50% dans les délais, 30% dans les 2 mois suivants</t>
  </si>
  <si>
    <t>% projets Telco avec attestation bonne fin dans délai</t>
  </si>
  <si>
    <t>Chef BU / PMO</t>
  </si>
  <si>
    <t>OQ-11</t>
  </si>
  <si>
    <t>Acquérir 3 nouveaux clients anglophones (Nigeria, Kenya, Ghana) — au-delà des prospects déjà en cours depuis 2024</t>
  </si>
  <si>
    <t>Nb nouveaux clients anglophones signés (hors prospects 2024)</t>
  </si>
  <si>
    <t>OQ-12</t>
  </si>
  <si>
    <t xml:space="preserve">PR1 </t>
  </si>
  <si>
    <t>8.2 · 9.3</t>
  </si>
  <si>
    <t>Augmentation du CA BU Telco de 20% avec marge nette de 30% par rapport à 2024</t>
  </si>
  <si>
    <t>CA BU Telco 2026 / CA 2024 × 100 ; Marge nette BU Telco</t>
  </si>
  <si>
    <t xml:space="preserve"> PR2 — RÉALISATION : BU Conseil, Transformation Digitale &amp; Solutions Entreprises</t>
  </si>
  <si>
    <t>OQ-13</t>
  </si>
  <si>
    <t>PR2</t>
  </si>
  <si>
    <t>Lancer COSAP commercialement — min 2 ventes confirmées, plateforme en production avec UX améliorée, taux remplissage ≥ 90%</t>
  </si>
  <si>
    <t>Nb ventes COSAP + Taux remplissage équipes (%)</t>
  </si>
  <si>
    <t>0 / &lt;50%</t>
  </si>
  <si>
    <t>Chef BU / PS3</t>
  </si>
  <si>
    <t>OQ-14</t>
  </si>
  <si>
    <t xml:space="preserve">PR2 
</t>
  </si>
  <si>
    <t>Réaliser 50 k€ de CA sur SFM Connect — 3 clients France, 5 clients Tunisie, 1 par pays (Burkina / Cameroun / Côte d'Ivoire)</t>
  </si>
  <si>
    <t>CA SFM Connect 2026 (k€) ; Nb clients par pays</t>
  </si>
  <si>
    <t>OQ-15</t>
  </si>
  <si>
    <t xml:space="preserve">PR2 </t>
  </si>
  <si>
    <t>Finaliser les produits cybersécurité SoC et SIEM — 2 PoCs ou ventes signées avant fin septembre 2026</t>
  </si>
  <si>
    <t>Nb PoCs ou ventes SoC/SIEM signés avant Q3 2026</t>
  </si>
  <si>
    <t>OQ-16</t>
  </si>
  <si>
    <t>Opérationnaliser BidMaster V1 en S1 2026 — gagner 80% d'efficacité dans les processus de réponse aux AO/AMI</t>
  </si>
  <si>
    <t>BidMaster V1 déployé (Oui/Non) ; % gain efficacité AO mesuré</t>
  </si>
  <si>
    <t>Non / 0%</t>
  </si>
  <si>
    <t>OQ-17</t>
  </si>
  <si>
    <t>7.5</t>
  </si>
  <si>
    <t>Opérationnaliser KMS (SFM BrAIn) V1 en S1 2026 — capitalisation des connaissances internes, sécurisation des codes SFM</t>
  </si>
  <si>
    <t>KMS V1 opérationnel (Oui/Non) ; Nb processus documentés KMS</t>
  </si>
  <si>
    <t>OQ-18</t>
  </si>
  <si>
    <t>Lancer le nouveau site web SFM — opérationnel au plus tard le 31/05/2026 pour soutenir la prospection et la crédibilité ISO</t>
  </si>
  <si>
    <t>Site web lancé avant 31/05/2026 (Oui/Non)</t>
  </si>
  <si>
    <t>Resp. Commercial / PS4</t>
  </si>
  <si>
    <t>OQ-19</t>
  </si>
  <si>
    <t>9.3</t>
  </si>
  <si>
    <t>CA BU Digital couvrant ses charges avec une marge nette de 30% en 2026</t>
  </si>
  <si>
    <t>Marge nette BU Digital / CA BU Digital × 100</t>
  </si>
  <si>
    <t xml:space="preserve"> PR3 — RÉALISATION : BU Formation</t>
  </si>
  <si>
    <t>OQ-20</t>
  </si>
  <si>
    <t xml:space="preserve">PR3 </t>
  </si>
  <si>
    <t>Définir et atteindre un objectif de CA Formation 2026 — intégrer l'IA dans les programmes et l'ingénierie pédagogique</t>
  </si>
  <si>
    <t>CA BU Formation 2026 (k€) ; IA intégrée dans les programmes (Oui/Non)</t>
  </si>
  <si>
    <t>Resp. Formation</t>
  </si>
  <si>
    <t>OQ-21</t>
  </si>
  <si>
    <t>Développer 5 nouveaux axes/modules de formation — 5G, IA, Cybersécurité, Data — adaptés aux régulateurs et opérateurs africains</t>
  </si>
  <si>
    <t>Nb nouveaux modules formation livrés et validés en 2026</t>
  </si>
  <si>
    <t>Chef BU PR3</t>
  </si>
  <si>
    <t>OQ-22</t>
  </si>
  <si>
    <t>9.1.2</t>
  </si>
  <si>
    <t>Boucler les programmes de formation en cours avec attestations, taux de satisfaction ≥ 90% et taux de réussite ≥ 80%</t>
  </si>
  <si>
    <t>Taux satisfaction apprenants (%) ; Taux réussite (%)</t>
  </si>
  <si>
    <t>Resp. Qualité</t>
  </si>
  <si>
    <t xml:space="preserve"> PS1 — SUPPORT : RH &amp; Compétences</t>
  </si>
  <si>
    <t>OQ-23</t>
  </si>
  <si>
    <t>PS1 — RH &amp;
Compétences</t>
  </si>
  <si>
    <t>7.1.2</t>
  </si>
  <si>
    <t>Développement des
compétences collaborateurs</t>
  </si>
  <si>
    <t>Mener les enquêtes de satisfaction collaborateurs semestrielles — cible 80% de satisfaction minimum</t>
  </si>
  <si>
    <t>Taux satisfaction collaborateurs (enquête semestrielle)</t>
  </si>
  <si>
    <t>DRH</t>
  </si>
  <si>
    <t>Resp. RH / PS1</t>
  </si>
  <si>
    <t>OQ-24</t>
  </si>
  <si>
    <t>7.2</t>
  </si>
  <si>
    <t>Assurer la montée en compétences de toutes les équipes — chaque collaborateur participe à ≥ 1 projet hors de sa spécialité</t>
  </si>
  <si>
    <t>% collaborateurs techniques ayant participé à 1 projet hors spécialité</t>
  </si>
  <si>
    <t>Annuel</t>
  </si>
  <si>
    <t>Chef BU / DRH</t>
  </si>
  <si>
    <t>OQ-25</t>
  </si>
  <si>
    <t>Former un doublon pour les postes critiques (ex : doublure de Lahaou pour TariStriker) — réduire la dépendance aux personnes-clés</t>
  </si>
  <si>
    <t>Nb postes critiques avec doublon formé / nb postes critiques identifiés</t>
  </si>
  <si>
    <t>0%</t>
  </si>
  <si>
    <t xml:space="preserve"> PS2 — SUPPORT : Finance &amp; Administration</t>
  </si>
  <si>
    <t>OQ-26</t>
  </si>
  <si>
    <t xml:space="preserve">PS2 </t>
  </si>
  <si>
    <t>Recouvrer 90% des factures dans les 2 mois suivant leur émission — réduire les délais de paiement et sécuriser la trésorerie</t>
  </si>
  <si>
    <t>Montant recouvré dans J+60 / montant facturé × 100</t>
  </si>
  <si>
    <t>~80%</t>
  </si>
  <si>
    <t>RAF</t>
  </si>
  <si>
    <t>Resp. Finance / PS2</t>
  </si>
  <si>
    <t>OQ-27</t>
  </si>
  <si>
    <t>9.1.3</t>
  </si>
  <si>
    <t>Envoyer les KPIs financiers mensuellement à la responsable financière et à la DG — 100% des envois réalisés</t>
  </si>
  <si>
    <t>Nb rapports financiers envoyés / nb mois × 100</t>
  </si>
  <si>
    <t>~70%</t>
  </si>
  <si>
    <t>OQ-28</t>
  </si>
  <si>
    <t>Amélioration continue
&amp; maîtrise processus</t>
  </si>
  <si>
    <t>Rendre le module financier COSAP complètement opérationnel en Q1 2026 — automatiser l'acquisition des informations financières</t>
  </si>
  <si>
    <t>Module COSAP Finance opérationnel (Oui/Non)</t>
  </si>
  <si>
    <t>OQ-29</t>
  </si>
  <si>
    <t>Maintenir une rigueur de 95% dans les états financiers — zéro erreur de calcul significative dans les bilans et reportings</t>
  </si>
  <si>
    <t>% états financiers sans erreur significative / an</t>
  </si>
  <si>
    <t>OQ-30</t>
  </si>
  <si>
    <t>Conformité aux
exigences régl. &amp; éthiques</t>
  </si>
  <si>
    <t>Assurer la conformité de toutes les déclarations fiscales et sociales (Tunisie + pays filiales) — zéro retard ni pénalité</t>
  </si>
  <si>
    <t>Nb retards ou pénalités déclarations fiscales/sociales / an</t>
  </si>
  <si>
    <t xml:space="preserve"> PS3 — SUPPORT : Infrastructure IT &amp; Systèmes d'Information</t>
  </si>
  <si>
    <t>OQ-31</t>
  </si>
  <si>
    <t>PS3</t>
  </si>
  <si>
    <t>7.1.3</t>
  </si>
  <si>
    <t>Maintenir la disponibilité des plateformes SaaS SFM ≥ 99,5% — SLA respecté pour COSAP, SFM Connect, OrQoEstra cloud</t>
  </si>
  <si>
    <t>Taux disponibilité SaaS/IoT mensuel (uptime %)</t>
  </si>
  <si>
    <t>96%</t>
  </si>
  <si>
    <t>Resp. IT</t>
  </si>
  <si>
    <t>OQ-32</t>
  </si>
  <si>
    <t xml:space="preserve">PS3 </t>
  </si>
  <si>
    <t>Sécuriser 100% des codes sources SFM — versionning systématique, politique gestion codes, audit sécurité plateformes</t>
  </si>
  <si>
    <t>% codes sources sécurisés et versionnés / total codes SFM</t>
  </si>
  <si>
    <t>~40%</t>
  </si>
  <si>
    <t>OQ-33</t>
  </si>
  <si>
    <t>Réaliser l'audit de sécurité des plateformes et applications — scanning code, détection vulnérabilités, conformité RGPD</t>
  </si>
  <si>
    <t>Audit de sécurité réalisé (Oui/Non) ; Nb vulnérabilités critiques corrigées</t>
  </si>
  <si>
    <t xml:space="preserve"> PS4 — SUPPORT : Commercial Back Office</t>
  </si>
  <si>
    <t>OQ-34</t>
  </si>
  <si>
    <t xml:space="preserve">PS4 </t>
  </si>
  <si>
    <t>Détecter et soumettre ≥ 3 AO/AMI par mois — taux de conversion pipeline ≥ 40%, délai de réponse ≤ 15 jours</t>
  </si>
  <si>
    <t>Nb AO/AMI soumis / mois ; Taux conversion % ; Délai réponse (j)</t>
  </si>
  <si>
    <t>Hebdomadaire</t>
  </si>
  <si>
    <t>0 / 22% / N/D</t>
  </si>
  <si>
    <t>OQ-35</t>
  </si>
  <si>
    <t>Vendre 100 boîtiers et/ou applications Voltix / Droppy / Cool-@C / WholsIn sur l'année 2026</t>
  </si>
  <si>
    <t>Nb boîtiers / applications IoT vendus en 2026</t>
  </si>
  <si>
    <t>OQ-36</t>
  </si>
  <si>
    <t>Finaliser et documenter 3 nouveaux produits IoT vendables — 1 produit par mois, PoC ou vente à la clé</t>
  </si>
  <si>
    <t>Nb nouveaux produits IoT documentés et vendables / an</t>
  </si>
  <si>
    <t xml:space="preserve"> PS5 — SUPPORT : Management de la Qualité </t>
  </si>
  <si>
    <t>OQ-37</t>
  </si>
  <si>
    <t xml:space="preserve">PS5 </t>
  </si>
  <si>
    <t>6.2 · 9.2</t>
  </si>
  <si>
    <t>Obtenir la certification ISO 9001:2015 en Q2 2026 — conformité totale du SMQ (priorité n°1)</t>
  </si>
  <si>
    <t>Certification obtenue avant fin Q2 2026 (Oui/Non)</t>
  </si>
  <si>
    <t>OQ-38</t>
  </si>
  <si>
    <t>PS5</t>
  </si>
  <si>
    <t>Atteindre un taux de remplissage de COSAP de 90% sur l'ensemble des équipes</t>
  </si>
  <si>
    <t>Taux remplissage COSAP moyen toutes équipes (%)</t>
  </si>
  <si>
    <t>&lt;50%</t>
  </si>
  <si>
    <t>OQ-39</t>
  </si>
  <si>
    <t>7.5 · 4.4</t>
  </si>
  <si>
    <t>Finaliser la documentation technique de 90% des produits SFM — deadline : 31/12/2026</t>
  </si>
  <si>
    <t>% produits SFM avec documentation technique complète</t>
  </si>
  <si>
    <t>~30%</t>
  </si>
  <si>
    <t>OQ-40</t>
  </si>
  <si>
    <t>10.2</t>
  </si>
  <si>
    <t>Piloter la boucle d'amélioration : 100% des actions correctives clôturées à temps — suivi trimestriel</t>
  </si>
  <si>
    <t>% AC clôturées dans délai J+60</t>
  </si>
  <si>
    <t>60%</t>
  </si>
  <si>
    <t>PLAN D'ACTIONS — CLAUSE 6.2.2  |  SFM TECHNOLOGIES  |  ISO 9001:2015</t>
  </si>
  <si>
    <t>6.2.2 — Planifier : CE QUI SERA FAIT · RESSOURCES NÉCESSAIRES · RESPONSABLE · ÉCHÉANCE · COMMENT LES RÉSULTATS SERONT ÉVALUÉS</t>
  </si>
  <si>
    <t>Réf.
Objectif</t>
  </si>
  <si>
    <t>Priorité</t>
  </si>
  <si>
    <t>Ce qui sera fait
(6.2.2 a)</t>
  </si>
  <si>
    <t>Responsable
(6.2.2 c)</t>
  </si>
  <si>
    <t>Échéance
(6.2.2 d)</t>
  </si>
  <si>
    <t>⚠️ Retard</t>
  </si>
  <si>
    <t>Jalons Intermédiaires</t>
  </si>
  <si>
    <t>Ressources Nécessaires
(6.2.2 b)</t>
  </si>
  <si>
    <t>Comment évaluer l'efficacité
(6.2.2 e)</t>
  </si>
  <si>
    <t>Efficacité
(après 3 mois)</t>
  </si>
  <si>
    <t>PM1 — Planification Stratégique</t>
  </si>
  <si>
    <t>Haute</t>
  </si>
  <si>
    <t>Développer le plan de croissance CA 2026. Consolider le tableau de bord financier mensuel. Présenter les résultats lors des revues de direction trimestrielles.</t>
  </si>
  <si>
    <t>Directeur Général / RAF</t>
  </si>
  <si>
    <t>En cours</t>
  </si>
  <si>
    <t>Q1 : Tableau de bord CA opérationnel
Q2 : 1ère revue financière
Q4 : Bilan CA annuel</t>
  </si>
  <si>
    <t>Direction Générale · RAF · Outil COSAP ou Excel · Tableau de bord CA</t>
  </si>
  <si>
    <t>≥ +30% CA vs 2024 (trimestriel)
Résultat net ≥ 30% (annuel)</t>
  </si>
  <si>
    <t>Figer les roadmaps BU en janvier. Mettre en place un processus de validation de modification (≤ 1 par an). Communiquer les décisions à toutes les équipes.</t>
  </si>
  <si>
    <t>Directeur Général / PMO-Qualité</t>
  </si>
  <si>
    <t>Jan : Roadmaps validées
Q2 : Bilan 1ère révision
Q4 : Rapport modifications</t>
  </si>
  <si>
    <t>Direction Générale · Chefs BU · PMO · Documentation roadmaps</t>
  </si>
  <si>
    <t>Nb modifications roadmap ≤ 1 / an
(suivi semestriel)</t>
  </si>
  <si>
    <t>Identifier les processus prioritaires pour l'IA. Déployer BidMaster et KMS SFM BrAIn. Mesurer les gains de productivité avant/après déploiement.</t>
  </si>
  <si>
    <t>Dir. Exécutif Digital / PMO</t>
  </si>
  <si>
    <t>Planifié</t>
  </si>
  <si>
    <t>Q1 : Processus IA identifiés
Q2 : Outils déployés
Q4 : Mesure gains productivité</t>
  </si>
  <si>
    <t>Budget IA · Outils BidMaster / KMS SFM BrAIn · Équipes techniques · Formation</t>
  </si>
  <si>
    <t>Gain productivité ≥ 20-30%
(semestriel, mesure avant/après)</t>
  </si>
  <si>
    <t>Cartographier les 6 pays africains cibles. Identifier et contractualiser avec des partenaires locaux dans chaque pays cible.</t>
  </si>
  <si>
    <t>Directeur Général / Dir. Commercial</t>
  </si>
  <si>
    <t>Q1 : Cartographie pays cibles
Q2 : Premiers contacts partenaires
Q4 : 6 partenariats signés</t>
  </si>
  <si>
    <t>Direction Générale · Budget prospection internationale · Experts marché africain</t>
  </si>
  <si>
    <t>Nb pays avec partenaire local actif = 6
(semestriel)</t>
  </si>
  <si>
    <t>Établir planning de charge mensuel. Prioriser les affectations aux missions facturables. Tableau de bord charge vs disponibilité.</t>
  </si>
  <si>
    <t>Directeur Général / Tous Chefs BU</t>
  </si>
  <si>
    <t>Jan : Plan charge établi
Q2 : 1er bilan contractualisation
Q4 : Bilan annuel</t>
  </si>
  <si>
    <t>Outil COSAP · Chefs BU · PMO · Resp. Commercial</t>
  </si>
  <si>
    <t>% temps contractualisé ≥ 50%
(mensuel)</t>
  </si>
  <si>
    <t>PR1 — BU Conseil &amp; Solutions Telco</t>
  </si>
  <si>
    <t>Prospecter 5 opportunités cybersécurité. Réaliser des démos et PoCs. Finaliser et signer 2 contrats conseil cybersécurité.</t>
  </si>
  <si>
    <t>Dir. Exécutif Telco / Resp. Commercial</t>
  </si>
  <si>
    <t>Q1 : Offre cybersécurité formalisée
Q2 : 2 PoCs réalisés
Q4 : 2 contrats signés</t>
  </si>
  <si>
    <t>Dir. Exécutif Telco · Resp. Commercial · Budget prospection cyber · Experts cybersécurité</t>
  </si>
  <si>
    <t>Nb contrats cybersécurité signés ≥ 2
(trimestriel)</t>
  </si>
  <si>
    <t>Finaliser migration OrQoEstra QoS vers cloud. Déployer pipeline CI/CD. Tester la solution chez 5 régulateurs africains avant mi-2026.</t>
  </si>
  <si>
    <t>Dir. Exécutif Telco / Resp. IT</t>
  </si>
  <si>
    <t>Mar : Migration cloud terminée
Avr : Pipeline CI/CD déployé
Juin : Tests chez 5 régulateurs</t>
  </si>
  <si>
    <t>Resp. IT · Budget cloud (estimé : 3-5 k€) · Équipe dev. OrQoEstra · Dir. Exécutif Telco</t>
  </si>
  <si>
    <t>Migration réalisée (Oui/Non)
Nb régulateurs testeurs = 5</t>
  </si>
  <si>
    <t>Reprendre la spécification de QoEntum F. Planifier le développement. Livrer un prototype fonctionnel opérationnel en 2026.</t>
  </si>
  <si>
    <t>Dir. Exécutif Telco / Chef BU R&amp;D</t>
  </si>
  <si>
    <t>Q1 : Spécifications révisées
Q2 : Développement 50%
Q4 : Prototype fonctionnel livré</t>
  </si>
  <si>
    <t>Chef BU R&amp;D · Équipe technique · Budget développement QoEntum F</t>
  </si>
  <si>
    <t>Prototype fonctionnel (Oui/Non)
(mensuel)</t>
  </si>
  <si>
    <t>Planifier la publication de 5 études TIC (régulation, QoS, 5G…). Prospecter 10 projets TIC signables. Valoriser via le site web SFM.</t>
  </si>
  <si>
    <t>Q1 : Plan publications TIC établi
Q2 : 3 études publiées
Q4 : 5 études + 10 projets signés</t>
  </si>
  <si>
    <t>Dir. Exécutif Telco · Experts TIC · Budget communication · Resp. Commercial</t>
  </si>
  <si>
    <t>Nb études publiées ≥ 5
Nb projets TIC signés ≥ 10
(semestriel)</t>
  </si>
  <si>
    <t>Mettre en place suivi des délais par projet dans le tableau de bord PMO (COSAP). Alertes automatiques. Obtenir attestations de bonne fin.</t>
  </si>
  <si>
    <t>Jan : Dashboard délais opérationnel
Q2 : Alertes configurées
Q3 : 80% attestations obtenues</t>
  </si>
  <si>
    <t>Tableau de bord PMO · COSAP · Chefs de BU · Resp. Qualité</t>
  </si>
  <si>
    <t>% projets avec attestation bonne fin ≥ 80%
(mensuel)</t>
  </si>
  <si>
    <t>Prospecter marchés anglophones Nigeria, Kenya, Ghana. Cibler régulateurs et opérateurs. Signer 3 nouveaux clients (hors prospects 2024).</t>
  </si>
  <si>
    <t>Dir. Commercial / Dir. Exécutif Telco</t>
  </si>
  <si>
    <t>Q1 : Plan prospection anglophone
Q2 : 1ères présentations
Q4 : 3 clients signés</t>
  </si>
  <si>
    <t>Dir. Commercial · Budget prospection internationale · Experts marchés anglophones</t>
  </si>
  <si>
    <t>Nb nouveaux clients anglophones ≥ 3
(trimestriel)</t>
  </si>
  <si>
    <t>Maximiser le CA BU Telco via pipeline commercial. Maîtriser les marges par projet. Reporting financier mensuel BU Telco.</t>
  </si>
  <si>
    <t>Dir. Exécutif Telco / RAF</t>
  </si>
  <si>
    <t>Q1 : Objectifs CA BU Telco fixés
Q2 : Bilan S1
Q4 : CA +20% vs 2024 atteint</t>
  </si>
  <si>
    <t>Dir. Exécutif Telco · RAF · Outil CRM · COSAP</t>
  </si>
  <si>
    <t>CA BU Telco +20% vs 2024
Marge nette ≥ 30%
(trimestriel)</t>
  </si>
  <si>
    <t>PR2 — BU Digital &amp; Entreprises</t>
  </si>
  <si>
    <t>Finaliser corrections COSAP avec UX améliorée. Lancer commercialement. Déployer chez 2 premiers clients. Atteindre 90% de taux de remplissage.</t>
  </si>
  <si>
    <t>Dir. Exécutif Digital / Chef BU</t>
  </si>
  <si>
    <t>Q1 : COSAP UX améliorée
Q2 : 2 ventes confirmées
Q3 : Taux remplissage ≥ 90%</t>
  </si>
  <si>
    <t>Dir. Exécutif Digital · Chef BU · Équipe dev. COSAP · Budget marketing SaaS</t>
  </si>
  <si>
    <t>Nb ventes COSAP ≥ 2
Taux remplissage équipes ≥ 90%
(mensuel)</t>
  </si>
  <si>
    <t>Packager l'offre SFM Connect. Prospecter France (3 clients), Tunisie (5 clients) et 3 pays africains (1 client/pays). Suivre le CA mensuel.</t>
  </si>
  <si>
    <t>Dir. Exécutif Digital / Resp. Commercial</t>
  </si>
  <si>
    <t>Q1 : Offre SFM Connect packagée
Q2 : 3 clients France signés
Q4 : 50 k€ CA atteint</t>
  </si>
  <si>
    <t>Resp. Commercial · Équipe technique PR2 · Budget prospection internationale · CRM</t>
  </si>
  <si>
    <t>CA SFM Connect ≥ 50 k€
Nb clients = 9
(trimestriel)</t>
  </si>
  <si>
    <t>Finaliser le développement SoC et SIEM. Réaliser 2 PoCs ou démonstrations. Signer 2 contrats pilotes avant fin septembre 2026.</t>
  </si>
  <si>
    <t>Q1 : Produits SoC/SIEM finalisés
Q2 : 1er PoC réalisé
Q3 : 2 PoCs/ventes signés</t>
  </si>
  <si>
    <t>Équipe technique · Budget cybersécurité · Experts SoC/SIEM · Resp. Commercial</t>
  </si>
  <si>
    <t>Nb PoCs/ventes SoC/SIEM ≥ 2
(mensuel)</t>
  </si>
  <si>
    <t>Développer BidMaster V1. Déployer en S1 2026. Mesurer le gain d'efficacité dans les réponses AO/AMI. Objectif : 80% de temps économisé.</t>
  </si>
  <si>
    <t>Mar : BidMaster V1 développé
Avr : Tests et validation
Juin : Déploiement + mesure gains</t>
  </si>
  <si>
    <t>Budget IA · Équipe dev. BidMaster · PMO-Qualité · Dir. Commercial</t>
  </si>
  <si>
    <t>BidMaster V1 déployé (Oui)
Gain efficacité AO ≥ 80%
(mensuel)</t>
  </si>
  <si>
    <t>Développer KMS SFM BrAIn V1. Intégrer la base de connaissances interne. Sécuriser les codes SFM. Déployer en S1 2026.</t>
  </si>
  <si>
    <t>Dir. Exécutif Digital / Resp. IT</t>
  </si>
  <si>
    <t>Mar : Architecture KMS définie
Avr : Base connaissance intégrée
Juin : KMS V1 opérationnel</t>
  </si>
  <si>
    <t>Resp. IT · Équipe dev. KMS · Budget IA/R&amp;D · GED COSAP</t>
  </si>
  <si>
    <t>KMS V1 opérationnel (Oui)
Nb processus documentés = 100%
(mensuel)</t>
  </si>
  <si>
    <t>Démarrer le projet site web. Valider la charte graphique. Développer et déployer avant le 31/05/2026. Assurer compatibilité SEO et ISO.</t>
  </si>
  <si>
    <t>Resp. Commercial / Dir. Exécutif Digital</t>
  </si>
  <si>
    <t>Fév : Maquettes validées
Avr : Développement terminé
31/05 : Site en ligne</t>
  </si>
  <si>
    <t>Resp. Commercial · Équipe web · Budget refonte site (estimé : 3-5 k€)</t>
  </si>
  <si>
    <t>Site opérationnel avant 31/05/2026
(Oui/Non)</t>
  </si>
  <si>
    <t>Optimiser les charges BU Digital. Augmenter le CA par diversification produits. Produire un reporting mensuel financier BU Digital.</t>
  </si>
  <si>
    <t>Dir. Exécutif Digital / RAF</t>
  </si>
  <si>
    <t>Q1 : Objectifs CA BU Digital fixés
Q2 : Bilan S1
Q4 : Marge nette ≥ 30% atteinte</t>
  </si>
  <si>
    <t>Dir. Exécutif Digital · RAF · COSAP · Tableaux de bord financiers</t>
  </si>
  <si>
    <t>Marge nette BU Digital ≥ 30%
(trimestriel)</t>
  </si>
  <si>
    <t>PR3 — Formation</t>
  </si>
  <si>
    <t>Moyenne</t>
  </si>
  <si>
    <t>Définir l'objectif CA Formation avec la direction. Intégrer l'IA dans les programmes et l'ingénierie pédagogique. Suivre le CA mensuel.</t>
  </si>
  <si>
    <t>Resp. Formation / Direction</t>
  </si>
  <si>
    <t>À planifier</t>
  </si>
  <si>
    <t>Jan : Cible CA Formation validée
Q2 : IA intégrée aux programmes
Q4 : Bilan CA Formation</t>
  </si>
  <si>
    <t>Resp. Formation · Direction · Budget pédagogique · Outils IA formation</t>
  </si>
  <si>
    <t>CA Formation atteint (cible MS)
IA intégrée (Oui/Non)
(trimestriel)</t>
  </si>
  <si>
    <t>Définir le cahier des charges des 5 modules. Produire les contenus (5G, IA, Cybersécurité, Data). Valider et commercialiser.</t>
  </si>
  <si>
    <t>Resp. Formation / Chef BU PR3</t>
  </si>
  <si>
    <t>Q1 : Cahiers des charges
Q2 : 2 modules produits
Q3 : 5 modules livrés et validés</t>
  </si>
  <si>
    <t>Resp. Formation · Experts techniques BU · Plateforme e-learning · Budget production</t>
  </si>
  <si>
    <t>Nb modules formation ≥ 5
(semestriel)</t>
  </si>
  <si>
    <t>Déployer questionnaires satisfaction en fin de session. Suivre taux de réussite. Obtenir attestations pour 100% des programmes en cours.</t>
  </si>
  <si>
    <t>Resp. Formation / Resp. Qualité</t>
  </si>
  <si>
    <t>Q1 : Questionnaire déployé
Q2 : 1ère analyse bilan S1
Q3 : 90% satisfaction atteint</t>
  </si>
  <si>
    <t>Resp. Formation · Outil enquête · PMO-Qualité · Resp. Qualité</t>
  </si>
  <si>
    <t>Taux satisfaction ≥ 90%
Taux réussite ≥ 80%
(trimestriel)</t>
  </si>
  <si>
    <t>PS1 — RH &amp; Compétences</t>
  </si>
  <si>
    <t>Concevoir et déployer un questionnaire de satisfaction collaborateurs semestriel. Analyser les résultats. Définir un plan d'action correctif.</t>
  </si>
  <si>
    <t>DRH / Resp. RH</t>
  </si>
  <si>
    <t>Q1 : Questionnaire conçu
Q2 : 1ère enquête réalisée
Q3-Q4 : 2ème enquête + analyse</t>
  </si>
  <si>
    <t>DRH · Outil enquête (Google Forms/COSAP) · Direction</t>
  </si>
  <si>
    <t>Taux satisfaction ≥ 80%
(semestriel)</t>
  </si>
  <si>
    <t>Établir matrice de polyvalence des équipes techniques. Planifier des rotations de mission. Valoriser les collaborateurs polyvalents.</t>
  </si>
  <si>
    <t>DRH / Chef BU</t>
  </si>
  <si>
    <t>Q1 : Matrice polyvalence créée
Q2 : Premières affectations croisées
Q4 : Bilan annuel</t>
  </si>
  <si>
    <t>DRH · Chefs de BU · Matrice compétences (COSAP)</t>
  </si>
  <si>
    <t>% collaborateurs polyvalents = 100%
(annuel)</t>
  </si>
  <si>
    <t>Identifier les postes critiques. Former un doublon pour chaque poste critique (priorité : TariStriker). Documenter les compétences clés.</t>
  </si>
  <si>
    <t>Q1 : Postes critiques identifiés
Q2 : Plan formation doublons
Q3 : Doublons formés</t>
  </si>
  <si>
    <t>DRH · Chefs BU · Budget formation · Plan de succession</t>
  </si>
  <si>
    <t>Nb postes critiques avec doublon = 100%
(semestriel)</t>
  </si>
  <si>
    <t>PS2 — Finance &amp; Admin</t>
  </si>
  <si>
    <t>Mettre en place suivi de recouvrement (relances J+30 et J+45). Intégrer clauses de pénalité dans les contrats. Tableau de bord recouvrement.</t>
  </si>
  <si>
    <t>Resp. Finance / RAF</t>
  </si>
  <si>
    <t>Jan : Procédure recouvrement rédigée
Fév : Clauses contrats révisées
Q2 : TDB opérationnel</t>
  </si>
  <si>
    <t>RAF · Modèles contrats révisés · Module financier COSAP · Conseil juridique</t>
  </si>
  <si>
    <t>Taux recouvrement ≥ 90% (mensuel)
Nb factures en retard &gt; J+60</t>
  </si>
  <si>
    <t>Automatiser la production des KPIs financiers via COSAP. Diffuser par mail à la responsable financière et DG. Zéro erreur de calcul.</t>
  </si>
  <si>
    <t>Jan : Module COSAP Finance finalisé
Fév : Tests et validation
Mar : Diffusion automatisée</t>
  </si>
  <si>
    <t>Module financier COSAP · RAF · Resp. Finance · Direction</t>
  </si>
  <si>
    <t>Nb rapports sans erreur / total = 100%
(mensuel)</t>
  </si>
  <si>
    <t>Finaliser le développement du module financier COSAP. Tester les fonctionnalités. Déployer en production avant fin Q1 2026.</t>
  </si>
  <si>
    <t>RAF / PMO-Qualité</t>
  </si>
  <si>
    <t>Jan : Fonctionnalités finalisées
Fév : Tests recette
Mar : Mise en production</t>
  </si>
  <si>
    <t>PMO-Qualité · RAF · Équipe dev. COSAP · Budget</t>
  </si>
  <si>
    <t>Module COSAP Finance opérationnel
(Oui/Non)</t>
  </si>
  <si>
    <t>Mettre en place des revues de qualité des états financiers. Former l'équipe aux bonnes pratiques comptables. Audit interne semestriel.</t>
  </si>
  <si>
    <t>RAF / Resp. Finance</t>
  </si>
  <si>
    <t>Q1 : Procédure vérification établie
Q2 : 1er audit interne finance
Q4 : Bilan annuel</t>
  </si>
  <si>
    <t>RAF · Resp. Finance · Comptable · Outils COSAP</t>
  </si>
  <si>
    <t>% états financiers sans erreur ≥ 95%
(trimestriel)</t>
  </si>
  <si>
    <t>Mettre en place calendrier fiscal et social. Assurer la veille réglementaire. Déposer toutes les déclarations en avance. Zéro pénalité.</t>
  </si>
  <si>
    <t>Maintenu</t>
  </si>
  <si>
    <t>Q1 : Calendrier fiscal établi
Q2 : 1ère revue conformité
Q4 : Bilan zéro pénalité</t>
  </si>
  <si>
    <t>RAF · Resp. Finance · Conseil fiscal/juridique · Calendrier fiscal</t>
  </si>
  <si>
    <t>Nb retards/pénalités = 0
(trimestriel)</t>
  </si>
  <si>
    <t>PS3 — Infrastructure IT</t>
  </si>
  <si>
    <t>Tester le PCA semestriellement. Souscrire hébergement cloud redondant. Monitoring continu (uptime, alertes). SLA ≥ 99,5%.</t>
  </si>
  <si>
    <t>Fév : Architecture cloud redondante
Mar : Monitoring déployé
Mai : Test PCA</t>
  </si>
  <si>
    <t>Resp. IT · Budget cloud redondant (estimé : 2-5 k€/an) · Outils monitoring</t>
  </si>
  <si>
    <t>SLA ≥ 99,5% (mensuel)
Rapport uptime mensuel</t>
  </si>
  <si>
    <t>Reprendre politique gestion des codes SFM. Déployer Git/versioning sur 100% des repos. Réaliser scanning sécurité. Audit RGPD.</t>
  </si>
  <si>
    <t>Q1 : Politique gestion codes rédigée
Q2 : 100% repos versionnés
Q3 : Audit sécurité codes</t>
  </si>
  <si>
    <t>Resp. IT · Outils Git/GitLab · Outils SAST · Budget formation sécurité</t>
  </si>
  <si>
    <t>% codes sécurisés/versionnés ≥ 100%
(trimestriel)</t>
  </si>
  <si>
    <t>Planifier et réaliser un audit de sécurité complet. Scanning de code (SAST/DAST). Détection et correction des vulnérabilités critiques.</t>
  </si>
  <si>
    <t>Q1 : Plan audit établi
Q2 : Scanning réalisé
Q3 : Vulnérabilités critiques corrigées</t>
  </si>
  <si>
    <t>Resp. IT · Outils audit sécurité · Prestataire audit externe si nécessaire · Budget</t>
  </si>
  <si>
    <t>Audit réalisé (Oui/Non)
Nb vulnérabilités critiques corrigées = 100%
(semestriel)</t>
  </si>
  <si>
    <t>PS4 — Commercial Back Office</t>
  </si>
  <si>
    <t>Appliquer critères Go/No-Go stricts. Industrialiser la production des dossiers (BidMaster). Soumettre ≥ 3 AO/AMI par mois. Délai ≤ 15 jours.</t>
  </si>
  <si>
    <t>Dir. Commercial / Resp. Commercial</t>
  </si>
  <si>
    <t>Q1 : Critères Go/No-Go formalisés
Q2 : BidMaster opérationnel
Q3 : Bilan conversion ≥ 40%</t>
  </si>
  <si>
    <t>PMO · Resp. Commercial · CRM · BidMaster (IA) · Modèles dossiers AO</t>
  </si>
  <si>
    <t>Nb AO/AMI ≥ 3/mois
Taux conversion ≥ 40%
(hebdomadaire)</t>
  </si>
  <si>
    <t>Planifier la commercialisation des produits IoT. Organiser des démos et PoCs. Vendre 100 unités Voltix / Droppy / Cool-@C / WholsIn.</t>
  </si>
  <si>
    <t>Q1 : Plan commercial IoT établi
Q2 : 40 unités vendues
Q4 : 100 unités atteint</t>
  </si>
  <si>
    <t>Resp. Commercial · Équipe IoT · Budget stock démo · CRM IoT</t>
  </si>
  <si>
    <t>Nb unités IoT vendues ≥ 100
(trimestriel)</t>
  </si>
  <si>
    <t>Développer 3 nouveaux produits IoT avec PoC ou vente. 1 produit par mois. Documenter commercialement chaque produit.</t>
  </si>
  <si>
    <t>Dir. Commercial / Chef BU</t>
  </si>
  <si>
    <t>Q1 : Produit IoT #1 documenté
Q2 : Produit IoT #2 documenté
Q3 : Produit IoT #3 documenté</t>
  </si>
  <si>
    <t>Équipe IoT · Resp. Commercial · Budget prototypage · PMO-Qualité</t>
  </si>
  <si>
    <t>Nb produits IoT documentés et vendables ≥ 3
(mensuel)</t>
  </si>
  <si>
    <t>PS5 — Management Qualité &amp; PMO</t>
  </si>
  <si>
    <t>Critique</t>
  </si>
  <si>
    <t>Finaliser déploiement SMQ complet. Réaliser audit à blanc (pré-certification). Engager organisme certificateur. Obtenir certification Q2 2026.</t>
  </si>
  <si>
    <t>DG / PMO-Qualité</t>
  </si>
  <si>
    <t>Jan-Mar : SMQ complet déployé
Avr : Audit à blanc
Mai-Juin : Audit certification</t>
  </si>
  <si>
    <t>DG · Pilote SMQ · Organisme certificateur · Budget certification (estimé : 5-10 k€)</t>
  </si>
  <si>
    <t>Certification obtenue avant Q2 2026
(Oui/Non)</t>
  </si>
  <si>
    <t>Sensibiliser toutes les équipes à COSAP. Former les nouveaux collaborateurs. Suivre et améliorer le taux de remplissage mensuel.</t>
  </si>
  <si>
    <t>PMO-Qualité / Tous Chefs BU</t>
  </si>
  <si>
    <t>Jan : Plan de sensibilisation COSAP
Q1 : Formation toutes équipes
Q2 : Taux ≥ 90%</t>
  </si>
  <si>
    <t>PMO-Qualité · Chefs BU · COSAP · Direction</t>
  </si>
  <si>
    <t>Taux remplissage COSAP ≥ 90%
(mensuel)</t>
  </si>
  <si>
    <t>Établir plan de documentation technique. Assigner les responsables par produit. Réviser et valider la documentation avant 31/12/2026.</t>
  </si>
  <si>
    <t>PMO-Qualité / Resp. Qualité</t>
  </si>
  <si>
    <t>Q1 : Inventaire produits
Q2 : 50% documentation
Q4 : ≥ 90% documentés</t>
  </si>
  <si>
    <t>PMO-Qualité · Chefs BU · Experts techniques · GED COSAP</t>
  </si>
  <si>
    <t>% produits documentés ≥ 90%
(trimestriel)</t>
  </si>
  <si>
    <t>Créer un registre des actions correctives (AC). Appliquer méthode 5 Pourquoi. Vérifier l'efficacité à J+60. 100% AC clôturées à temps.</t>
  </si>
  <si>
    <t>Q1 : Registre AC créé
Q2 : 1er cycle AC traité
Q4 : 100% AC clôturées</t>
  </si>
  <si>
    <t>Resp. Qualité · Fiches AC standardisées · Registre NC/AC · Outil COSAP</t>
  </si>
  <si>
    <t>% AC clôturées J+60 ≥ 100%
(trimestriel)</t>
  </si>
  <si>
    <t>📊  SUIVI MENSUEL DES DONNÉES KPI  |  SFM TECHNOLOGIES  |  ISO 9001:2015  |  2026</t>
  </si>
  <si>
    <t>🗓️  Mois actif :</t>
  </si>
  <si>
    <t>Janv.</t>
  </si>
  <si>
    <t>💡 Formule liaison → col K Feuille 1 : =IFERROR(INDEX('03_SUIVI_DATA'!$E$5:$P$100,MATCH($A2,'03_SUIVI_DATA'!$B$5:$B$100,0),MATCH('03_SUIVI_DATA'!$E$2,'03_SUIVI_DATA'!$E$4:$P$4,0)),"")</t>
  </si>
  <si>
    <t>⚡ SPARKLINES : Sélectionner R6:R53 &gt; Insertion &gt; Sparklines &gt; Courbes &gt; Plage E6:P53</t>
  </si>
  <si>
    <t>Unité</t>
  </si>
  <si>
    <t>Févr.</t>
  </si>
  <si>
    <t>Mars</t>
  </si>
  <si>
    <t>Avr.</t>
  </si>
  <si>
    <t>Mai</t>
  </si>
  <si>
    <t>Juin</t>
  </si>
  <si>
    <t>Juill.</t>
  </si>
  <si>
    <t>Août</t>
  </si>
  <si>
    <t>Sept.</t>
  </si>
  <si>
    <t>Oct.</t>
  </si>
  <si>
    <t>Nov.</t>
  </si>
  <si>
    <t>Déc.</t>
  </si>
  <si>
    <t>Cible
2026</t>
  </si>
  <si>
    <t>📈 Tendance
(Sparkline*)</t>
  </si>
  <si>
    <t>PM1 — MANAGEMENT : Planification Stratégique &amp; Objectifs Qualité</t>
  </si>
  <si>
    <t>PM1</t>
  </si>
  <si>
    <t>CA 2026 / CA 2024 × 100</t>
  </si>
  <si>
    <t>%</t>
  </si>
  <si>
    <t>Nb</t>
  </si>
  <si>
    <t>% temps équipes tech. contractualisé / temps dispo</t>
  </si>
  <si>
    <t>PR1 — RÉALISATION : BU Conseil, Ingénierie &amp; Solutions Telco</t>
  </si>
  <si>
    <t>Migration réalisée (Oui/Non)</t>
  </si>
  <si>
    <t>O/N</t>
  </si>
  <si>
    <t>% projets Telco avec attestation bonne fin dans dé</t>
  </si>
  <si>
    <t>Jours</t>
  </si>
  <si>
    <t>Nb nouveaux clients anglophones signés (hors prosp</t>
  </si>
  <si>
    <t>CA BU Telco 2026 / CA 2024 × 100</t>
  </si>
  <si>
    <t>PR2 — RÉALISATION : BU Conseil, Transformation Digitale &amp; Solutions Entreprises</t>
  </si>
  <si>
    <t>CA SFM Connect 2026 (k€)</t>
  </si>
  <si>
    <t>k€</t>
  </si>
  <si>
    <t>BidMaster V1 déployé (Oui/Non)</t>
  </si>
  <si>
    <t>KMS V1 opérationnel (Oui/Non)</t>
  </si>
  <si>
    <t>PR3 — RÉALISATION : BU Formation</t>
  </si>
  <si>
    <t>PR3</t>
  </si>
  <si>
    <t>CA BU Formation 2026 (k€)</t>
  </si>
  <si>
    <t>Nb nouveaux modules formation livrés et validés en</t>
  </si>
  <si>
    <t>Taux satisfaction apprenants (%)</t>
  </si>
  <si>
    <t>PS1 — SUPPORT : RH &amp; Compétences</t>
  </si>
  <si>
    <t>PS1</t>
  </si>
  <si>
    <t>Taux satisfaction collaborateurs (enquête semestri</t>
  </si>
  <si>
    <t>% collaborateurs techniques ayant participé à 1 pr</t>
  </si>
  <si>
    <t>Nb postes critiques avec doublon formé / nb postes</t>
  </si>
  <si>
    <t>PS2 — SUPPORT : Finance &amp; Administration</t>
  </si>
  <si>
    <t>PS2</t>
  </si>
  <si>
    <t>Nb retards ou pénalités déclarations fiscales/soci</t>
  </si>
  <si>
    <t>PS3 — SUPPORT : Infrastructure IT &amp; Systèmes d'Information</t>
  </si>
  <si>
    <t>% codes sources sécurisés et versionnés / total co</t>
  </si>
  <si>
    <t>Audit de sécurité réalisé (Oui/Non)</t>
  </si>
  <si>
    <t>PS4 — SUPPORT : Commercial Back Office</t>
  </si>
  <si>
    <t>PS4</t>
  </si>
  <si>
    <t>Nb AO/AMI soumis / mois</t>
  </si>
  <si>
    <t>Nb nouveaux produits IoT documentés et vendables /</t>
  </si>
  <si>
    <t>PS5 — SUPPORT : Management de la Qualité</t>
  </si>
  <si>
    <t>% produits SFM avec documentation technique complè</t>
  </si>
  <si>
    <t>Proc</t>
  </si>
  <si>
    <t>Planif. Stratégique</t>
  </si>
  <si>
    <t>BU Telco</t>
  </si>
  <si>
    <t>BU Digital</t>
  </si>
  <si>
    <t>BU Formation</t>
  </si>
  <si>
    <t>RH &amp; Compétences</t>
  </si>
  <si>
    <t>Finance &amp; Admin</t>
  </si>
  <si>
    <t>Infrastructure IT</t>
  </si>
  <si>
    <t>Commercial B.O.</t>
  </si>
  <si>
    <t>Mgmt Qualité</t>
  </si>
  <si>
    <t>Alerte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</si>
</sst>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##"/>
    <numFmt numFmtId="166" formatCode="#,##0.##"/>
    <numFmt numFmtId="167" formatCode="#,##0.0"/>
    <numFmt numFmtId="168" formatCode="mmmm\ yyyy"/>
  </numFmts>
  <fonts count="41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i/>
      <sz val="10"/>
      <color rgb="FFA8C8E8"/>
      <name val="Arial"/>
      <family val="2"/>
    </font>
    <font>
      <b/>
      <sz val="10"/>
      <color rgb="FFFFFFFF"/>
      <name val="Arial"/>
      <family val="2"/>
    </font>
    <font>
      <b/>
      <sz val="13"/>
      <color rgb="FFF4B942"/>
      <name val="Arial"/>
      <family val="2"/>
    </font>
    <font>
      <b/>
      <sz val="24"/>
      <color rgb="FF2E75B6"/>
      <name val="Arial"/>
      <family val="2"/>
    </font>
    <font>
      <b/>
      <sz val="24"/>
      <color rgb="FFC0392B"/>
      <name val="Arial"/>
      <family val="2"/>
    </font>
    <font>
      <b/>
      <sz val="24"/>
      <color rgb="FF1E8449"/>
      <name val="Arial"/>
      <family val="2"/>
    </font>
    <font>
      <b/>
      <sz val="24"/>
      <color rgb="FFD68910"/>
      <name val="Arial"/>
      <family val="2"/>
    </font>
    <font>
      <i/>
      <sz val="9"/>
      <color rgb="FF4A4A4A"/>
      <name val="Arial"/>
      <family val="2"/>
    </font>
    <font>
      <b/>
      <sz val="11"/>
      <color rgb="FFFFFFFF"/>
      <name val="Arial"/>
      <family val="2"/>
    </font>
    <font>
      <b/>
      <sz val="9"/>
      <color rgb="FFC0392B"/>
      <name val="Arial"/>
      <family val="2"/>
    </font>
    <font>
      <sz val="9"/>
      <color rgb="FF1C2833"/>
      <name val="Arial"/>
      <family val="2"/>
    </font>
    <font>
      <b/>
      <sz val="9"/>
      <color rgb="FF154360"/>
      <name val="Arial"/>
      <family val="2"/>
    </font>
    <font>
      <b/>
      <sz val="9"/>
      <color rgb="FF1B2A4A"/>
      <name val="Arial"/>
      <family val="2"/>
    </font>
    <font>
      <sz val="9"/>
      <name val="Arial"/>
      <family val="2"/>
    </font>
    <font>
      <i/>
      <sz val="8"/>
      <color rgb="FFBBBBBB"/>
      <name val="Arial"/>
      <family val="2"/>
    </font>
    <font>
      <b/>
      <sz val="13"/>
      <color rgb="FFFFFFFF"/>
      <name val="Arial"/>
      <family val="2"/>
      <charset val="1"/>
    </font>
    <font>
      <sz val="8"/>
      <color rgb="FF4A4A4A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9"/>
      <color rgb="FF0000FF"/>
      <name val="Arial"/>
      <family val="2"/>
      <charset val="1"/>
    </font>
    <font>
      <b/>
      <sz val="11"/>
      <color rgb="FFFFFFFF"/>
      <name val="Cambria"/>
      <family val="1"/>
    </font>
    <font>
      <b/>
      <sz val="9"/>
      <color rgb="FFC00000"/>
      <name val="Arial"/>
      <family val="2"/>
      <charset val="1"/>
    </font>
    <font>
      <b/>
      <sz val="11"/>
      <color rgb="FF333333"/>
      <name val="Cambria"/>
      <family val="1"/>
    </font>
    <font>
      <b/>
      <sz val="13"/>
      <color rgb="FFFFFFFF"/>
      <name val="Calibri"/>
      <family val="2"/>
    </font>
    <font>
      <b/>
      <sz val="10"/>
      <color rgb="FF1F3864"/>
      <name val="Calibri"/>
      <family val="2"/>
    </font>
    <font>
      <b/>
      <sz val="11"/>
      <color rgb="FF7F6000"/>
      <name val="Calibri"/>
      <family val="2"/>
    </font>
    <font>
      <i/>
      <sz val="8"/>
      <color rgb="FF7F6000"/>
      <name val="Calibri"/>
      <family val="2"/>
    </font>
    <font>
      <b/>
      <i/>
      <sz val="9"/>
      <color rgb="FFD35400"/>
      <name val="Cambria"/>
      <family val="1"/>
    </font>
    <font>
      <b/>
      <sz val="10"/>
      <color rgb="FFFFFFFF"/>
      <name val="Calibri"/>
      <family val="2"/>
    </font>
    <font>
      <b/>
      <sz val="10"/>
      <color rgb="FF375623"/>
      <name val="Calibri"/>
      <family val="2"/>
    </font>
    <font>
      <b/>
      <sz val="9"/>
      <color rgb="FFFFFFFF"/>
      <name val="Calibri"/>
      <family val="2"/>
    </font>
    <font>
      <b/>
      <sz val="9"/>
      <color rgb="FF1F3864"/>
      <name val="Calibri"/>
      <family val="2"/>
    </font>
    <font>
      <sz val="9"/>
      <color rgb="FF1F1F1F"/>
      <name val="Calibri"/>
      <family val="2"/>
    </font>
    <font>
      <i/>
      <sz val="9"/>
      <color rgb="FF595959"/>
      <name val="Calibri"/>
      <family val="2"/>
    </font>
    <font>
      <sz val="10"/>
      <color rgb="FF1F3864"/>
      <name val="Calibri"/>
      <family val="2"/>
    </font>
    <font>
      <i/>
      <sz val="11"/>
      <color rgb="FF1F497D"/>
      <name val="Cambria"/>
      <family val="1"/>
    </font>
  </fonts>
  <fills count="42">
    <fill>
      <patternFill patternType="none"/>
    </fill>
    <fill>
      <patternFill patternType="gray125"/>
    </fill>
    <fill>
      <patternFill patternType="darkGray">
        <fgColor rgb="FF1E2438"/>
        <bgColor rgb="FF193767"/>
      </patternFill>
    </fill>
    <fill>
      <patternFill patternType="solid">
        <fgColor rgb="FF243B62"/>
        <bgColor rgb="FF193767"/>
      </patternFill>
    </fill>
    <fill>
      <patternFill patternType="solid">
        <fgColor rgb="FFF2F4F7"/>
        <bgColor rgb="FFF4F6F8"/>
      </patternFill>
    </fill>
    <fill>
      <patternFill patternType="solid">
        <fgColor rgb="FF2E75B6"/>
        <bgColor rgb="FF4472C4"/>
      </patternFill>
    </fill>
    <fill>
      <patternFill patternType="solid">
        <fgColor rgb="FFC0392B"/>
        <bgColor rgb="FFCA5909"/>
      </patternFill>
    </fill>
    <fill>
      <patternFill patternType="solid">
        <fgColor rgb="FF1E8449"/>
        <bgColor rgb="FF006600"/>
      </patternFill>
    </fill>
    <fill>
      <patternFill patternType="solid">
        <fgColor rgb="FFD68910"/>
        <bgColor rgb="FFBF8F00"/>
      </patternFill>
    </fill>
    <fill>
      <patternFill patternType="solid">
        <fgColor rgb="FFEBF5FB"/>
        <bgColor rgb="FFEBF3FB"/>
      </patternFill>
    </fill>
    <fill>
      <patternFill patternType="solid">
        <fgColor rgb="FFFDEDEC"/>
        <bgColor rgb="FFFEF5E7"/>
      </patternFill>
    </fill>
    <fill>
      <patternFill patternType="solid">
        <fgColor rgb="FFEAFAF1"/>
        <bgColor rgb="FFEBF5FB"/>
      </patternFill>
    </fill>
    <fill>
      <patternFill patternType="solid">
        <fgColor rgb="FFFEF9EC"/>
        <bgColor rgb="FFFFF9E6"/>
      </patternFill>
    </fill>
    <fill>
      <patternFill patternType="mediumGray">
        <fgColor rgb="FF1E2438"/>
        <bgColor rgb="FF243B62"/>
      </patternFill>
    </fill>
    <fill>
      <patternFill patternType="solid">
        <fgColor rgb="FFFEF5E7"/>
        <bgColor rgb="FFFFF9E6"/>
      </patternFill>
    </fill>
    <fill>
      <patternFill patternType="solid">
        <fgColor rgb="FFFFFFFF"/>
        <bgColor rgb="FFFEF9EC"/>
      </patternFill>
    </fill>
    <fill>
      <patternFill patternType="darkGray">
        <fgColor rgb="FF173C5D"/>
        <bgColor rgb="FF193767"/>
      </patternFill>
    </fill>
    <fill>
      <patternFill patternType="solid">
        <fgColor rgb="FF1F4C7A"/>
        <bgColor rgb="FF243B62"/>
      </patternFill>
    </fill>
    <fill>
      <patternFill patternType="solid">
        <fgColor rgb="FFBBD6EE"/>
        <bgColor rgb="FFD1D1D1"/>
      </patternFill>
    </fill>
    <fill>
      <patternFill patternType="solid">
        <fgColor rgb="FFFFF3CD"/>
        <bgColor rgb="FFFFF2CC"/>
      </patternFill>
    </fill>
    <fill>
      <patternFill patternType="solid">
        <fgColor rgb="FFF4F6F8"/>
        <bgColor rgb="FFF5F5F5"/>
      </patternFill>
    </fill>
    <fill>
      <patternFill patternType="solid">
        <fgColor rgb="FFE0ECFF"/>
        <bgColor rgb="FFDDEEFF"/>
      </patternFill>
    </fill>
    <fill>
      <patternFill patternType="solid">
        <fgColor rgb="FFFFDAD6"/>
        <bgColor rgb="FFFFE0E0"/>
      </patternFill>
    </fill>
    <fill>
      <patternFill patternType="solid">
        <fgColor rgb="FFD6FFD6"/>
        <bgColor rgb="FFCCFFCC"/>
      </patternFill>
    </fill>
    <fill>
      <patternFill patternType="solid">
        <fgColor rgb="FFFFA500"/>
        <bgColor rgb="FFFEA436"/>
      </patternFill>
    </fill>
    <fill>
      <patternFill patternType="solid">
        <fgColor rgb="FFFFF9C4"/>
        <bgColor rgb="FFFFF3CD"/>
      </patternFill>
    </fill>
    <fill>
      <patternFill patternType="solid">
        <fgColor rgb="FFFFE066"/>
        <bgColor rgb="FFFFE4B5"/>
      </patternFill>
    </fill>
    <fill>
      <patternFill patternType="solid">
        <fgColor rgb="FFFF4C4C"/>
        <bgColor rgb="FFFF4444"/>
      </patternFill>
    </fill>
    <fill>
      <patternFill patternType="mediumGray">
        <fgColor rgb="FF193767"/>
        <bgColor rgb="FF243B62"/>
      </patternFill>
    </fill>
    <fill>
      <patternFill patternType="solid">
        <fgColor rgb="FFFFF2CC"/>
        <bgColor rgb="FFFFF3CD"/>
      </patternFill>
    </fill>
    <fill>
      <patternFill patternType="solid">
        <fgColor rgb="FFFFF9E6"/>
        <bgColor rgb="FFFEF9EC"/>
      </patternFill>
    </fill>
    <fill>
      <patternFill patternType="solid">
        <fgColor rgb="FFE2EFDA"/>
        <bgColor rgb="FFEAFAF1"/>
      </patternFill>
    </fill>
    <fill>
      <patternFill patternType="solid">
        <fgColor rgb="FFEBF3FB"/>
        <bgColor rgb="FFEBF5FB"/>
      </patternFill>
    </fill>
    <fill>
      <patternFill patternType="solid">
        <fgColor rgb="FFF5F5F5"/>
        <bgColor rgb="FFF4F6F8"/>
      </patternFill>
    </fill>
    <fill>
      <patternFill patternType="solid">
        <fgColor rgb="FF3F562F"/>
        <bgColor rgb="FF243B62"/>
      </patternFill>
    </fill>
    <fill>
      <patternFill patternType="darkGray">
        <fgColor rgb="FF627612"/>
        <bgColor rgb="FF1E8449"/>
      </patternFill>
    </fill>
    <fill>
      <patternFill patternType="solid">
        <fgColor rgb="FF70AD47"/>
        <bgColor rgb="FFAAAAAA"/>
      </patternFill>
    </fill>
    <fill>
      <patternFill patternType="solid">
        <fgColor rgb="FFCA5909"/>
        <bgColor rgb="FFCC6600"/>
      </patternFill>
    </fill>
    <fill>
      <patternFill patternType="solid">
        <fgColor rgb="FFBF8F00"/>
        <bgColor rgb="FFD68910"/>
      </patternFill>
    </fill>
    <fill>
      <patternFill patternType="solid">
        <fgColor rgb="FF7030A0"/>
        <bgColor rgb="FF243B62"/>
      </patternFill>
    </fill>
    <fill>
      <patternFill patternType="solid">
        <fgColor rgb="FFC50000"/>
        <bgColor rgb="FFFF0000"/>
      </patternFill>
    </fill>
    <fill>
      <patternFill patternType="solid">
        <fgColor rgb="FF4472C4"/>
        <bgColor rgb="FF2E75B6"/>
      </patternFill>
    </fill>
  </fills>
  <borders count="1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93767"/>
      </left>
      <right style="medium">
        <color rgb="FF193767"/>
      </right>
      <top style="medium">
        <color rgb="FF193767"/>
      </top>
      <bottom style="medium">
        <color rgb="FF193767"/>
      </bottom>
      <diagonal/>
    </border>
    <border>
      <left style="medium">
        <color rgb="FF193767"/>
      </left>
      <right style="thin">
        <color rgb="FFBFBFBF"/>
      </right>
      <top style="medium">
        <color rgb="FF193767"/>
      </top>
      <bottom style="medium">
        <color rgb="FF193767"/>
      </bottom>
      <diagonal/>
    </border>
    <border>
      <left style="thin">
        <color rgb="FFBFBFBF"/>
      </left>
      <right style="medium">
        <color rgb="FF193767"/>
      </right>
      <top style="medium">
        <color rgb="FF193767"/>
      </top>
      <bottom style="medium">
        <color rgb="FF193767"/>
      </bottom>
      <diagonal/>
    </border>
    <border>
      <left style="medium">
        <color rgb="FF193767"/>
      </left>
      <right style="medium">
        <color rgb="FF193767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193767"/>
      </right>
      <top style="medium">
        <color rgb="FF193767"/>
      </top>
      <bottom style="medium">
        <color rgb="FF193767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0" xfId="0" applyNumberFormat="1"/>
    <xf numFmtId="0" fontId="0" fillId="3" borderId="0" xfId="0" applyFill="1"/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0" fillId="4" borderId="0" xfId="0" applyFill="1"/>
    <xf numFmtId="0" fontId="5" fillId="8" borderId="2" xfId="0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left" vertical="center"/>
    </xf>
    <xf numFmtId="0" fontId="17" fillId="15" borderId="4" xfId="0" applyFont="1" applyFill="1" applyBorder="1" applyAlignment="1">
      <alignment horizontal="center" vertical="center"/>
    </xf>
    <xf numFmtId="0" fontId="0" fillId="0" borderId="0" xfId="0"/>
    <xf numFmtId="0" fontId="21" fillId="17" borderId="5" xfId="0" applyFont="1" applyFill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164" fontId="22" fillId="15" borderId="5" xfId="0" applyNumberFormat="1" applyFont="1" applyFill="1" applyBorder="1" applyAlignment="1">
      <alignment horizontal="center" vertical="center" wrapText="1"/>
    </xf>
    <xf numFmtId="164" fontId="24" fillId="18" borderId="5" xfId="0" applyNumberFormat="1" applyFon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23" fillId="19" borderId="5" xfId="0" applyFont="1" applyFill="1" applyBorder="1" applyAlignment="1">
      <alignment horizontal="center" vertical="center" wrapText="1"/>
    </xf>
    <xf numFmtId="0" fontId="22" fillId="20" borderId="5" xfId="0" applyFont="1" applyFill="1" applyBorder="1" applyAlignment="1">
      <alignment horizontal="center" vertical="center" wrapText="1"/>
    </xf>
    <xf numFmtId="0" fontId="22" fillId="20" borderId="5" xfId="0" applyFont="1" applyFill="1" applyBorder="1" applyAlignment="1">
      <alignment horizontal="left" vertical="center" wrapText="1"/>
    </xf>
    <xf numFmtId="165" fontId="22" fillId="20" borderId="5" xfId="0" applyNumberFormat="1" applyFont="1" applyFill="1" applyBorder="1" applyAlignment="1">
      <alignment horizontal="center" vertical="center" wrapText="1"/>
    </xf>
    <xf numFmtId="166" fontId="24" fillId="18" borderId="5" xfId="0" applyNumberFormat="1" applyFont="1" applyFill="1" applyBorder="1" applyAlignment="1">
      <alignment horizontal="center" vertical="center" wrapText="1"/>
    </xf>
    <xf numFmtId="0" fontId="23" fillId="21" borderId="5" xfId="0" applyFont="1" applyFill="1" applyBorder="1" applyAlignment="1">
      <alignment horizontal="center" vertical="center" wrapText="1"/>
    </xf>
    <xf numFmtId="165" fontId="22" fillId="15" borderId="5" xfId="0" applyNumberFormat="1" applyFont="1" applyFill="1" applyBorder="1" applyAlignment="1">
      <alignment horizontal="center" vertical="center" wrapText="1"/>
    </xf>
    <xf numFmtId="167" fontId="24" fillId="18" borderId="5" xfId="0" applyNumberFormat="1" applyFont="1" applyFill="1" applyBorder="1" applyAlignment="1">
      <alignment horizontal="center" vertical="center" wrapText="1"/>
    </xf>
    <xf numFmtId="164" fontId="22" fillId="20" borderId="5" xfId="0" applyNumberFormat="1" applyFont="1" applyFill="1" applyBorder="1" applyAlignment="1">
      <alignment horizontal="center" vertical="center" wrapText="1"/>
    </xf>
    <xf numFmtId="0" fontId="23" fillId="22" borderId="5" xfId="0" applyFont="1" applyFill="1" applyBorder="1" applyAlignment="1">
      <alignment horizontal="center" vertical="center" wrapText="1"/>
    </xf>
    <xf numFmtId="0" fontId="23" fillId="23" borderId="5" xfId="0" applyFont="1" applyFill="1" applyBorder="1" applyAlignment="1">
      <alignment horizontal="center" vertical="center" wrapText="1"/>
    </xf>
    <xf numFmtId="0" fontId="0" fillId="18" borderId="0" xfId="0" applyFill="1"/>
    <xf numFmtId="0" fontId="25" fillId="24" borderId="5" xfId="0" applyFont="1" applyFill="1" applyBorder="1" applyAlignment="1">
      <alignment horizontal="center" vertical="center" wrapText="1"/>
    </xf>
    <xf numFmtId="0" fontId="22" fillId="19" borderId="5" xfId="0" applyFont="1" applyFill="1" applyBorder="1" applyAlignment="1">
      <alignment horizontal="center" vertical="center" wrapText="1"/>
    </xf>
    <xf numFmtId="168" fontId="22" fillId="15" borderId="5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2" fillId="25" borderId="5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left" vertical="center" wrapText="1"/>
    </xf>
    <xf numFmtId="168" fontId="22" fillId="4" borderId="5" xfId="0" applyNumberFormat="1" applyFont="1" applyFill="1" applyBorder="1" applyAlignment="1">
      <alignment horizontal="center" vertical="center" wrapText="1"/>
    </xf>
    <xf numFmtId="0" fontId="22" fillId="21" borderId="5" xfId="0" applyFont="1" applyFill="1" applyBorder="1" applyAlignment="1">
      <alignment horizontal="center" vertical="center" wrapText="1"/>
    </xf>
    <xf numFmtId="0" fontId="27" fillId="26" borderId="5" xfId="0" applyFont="1" applyFill="1" applyBorder="1" applyAlignment="1">
      <alignment horizontal="center" vertical="center" wrapText="1"/>
    </xf>
    <xf numFmtId="0" fontId="22" fillId="22" borderId="5" xfId="0" applyFont="1" applyFill="1" applyBorder="1" applyAlignment="1">
      <alignment horizontal="center" vertical="center" wrapText="1"/>
    </xf>
    <xf numFmtId="0" fontId="22" fillId="23" borderId="5" xfId="0" applyFont="1" applyFill="1" applyBorder="1" applyAlignment="1">
      <alignment horizontal="center" vertical="center" wrapText="1"/>
    </xf>
    <xf numFmtId="0" fontId="25" fillId="27" borderId="5" xfId="0" applyFont="1" applyFill="1" applyBorder="1" applyAlignment="1">
      <alignment horizontal="center" vertical="center" wrapText="1"/>
    </xf>
    <xf numFmtId="0" fontId="32" fillId="0" borderId="0" xfId="0" applyFont="1" applyAlignment="1">
      <alignment wrapText="1"/>
    </xf>
    <xf numFmtId="0" fontId="33" fillId="28" borderId="7" xfId="0" applyFont="1" applyFill="1" applyBorder="1" applyAlignment="1">
      <alignment horizontal="center" vertical="center" wrapText="1"/>
    </xf>
    <xf numFmtId="0" fontId="33" fillId="28" borderId="5" xfId="0" applyFont="1" applyFill="1" applyBorder="1" applyAlignment="1">
      <alignment horizontal="center" vertical="center" wrapText="1"/>
    </xf>
    <xf numFmtId="0" fontId="34" fillId="31" borderId="6" xfId="0" applyFont="1" applyFill="1" applyBorder="1" applyAlignment="1">
      <alignment horizontal="center" vertical="center" wrapText="1"/>
    </xf>
    <xf numFmtId="0" fontId="33" fillId="28" borderId="8" xfId="0" applyFont="1" applyFill="1" applyBorder="1" applyAlignment="1">
      <alignment horizontal="center" vertical="center" wrapText="1"/>
    </xf>
    <xf numFmtId="0" fontId="35" fillId="5" borderId="5" xfId="0" applyFont="1" applyFill="1" applyBorder="1" applyAlignment="1">
      <alignment horizontal="center" vertical="center"/>
    </xf>
    <xf numFmtId="0" fontId="36" fillId="15" borderId="5" xfId="0" applyFont="1" applyFill="1" applyBorder="1" applyAlignment="1">
      <alignment horizontal="center" vertical="center"/>
    </xf>
    <xf numFmtId="0" fontId="37" fillId="15" borderId="5" xfId="0" applyFont="1" applyFill="1" applyBorder="1" applyAlignment="1">
      <alignment horizontal="left" vertical="center" wrapText="1" indent="1"/>
    </xf>
    <xf numFmtId="0" fontId="38" fillId="15" borderId="5" xfId="0" applyFont="1" applyFill="1" applyBorder="1" applyAlignment="1">
      <alignment horizontal="center" vertical="center"/>
    </xf>
    <xf numFmtId="10" fontId="39" fillId="32" borderId="5" xfId="0" applyNumberFormat="1" applyFont="1" applyFill="1" applyBorder="1" applyAlignment="1">
      <alignment horizontal="center" vertical="center"/>
    </xf>
    <xf numFmtId="10" fontId="34" fillId="31" borderId="9" xfId="0" applyNumberFormat="1" applyFont="1" applyFill="1" applyBorder="1" applyAlignment="1">
      <alignment horizontal="center" vertical="center"/>
    </xf>
    <xf numFmtId="4" fontId="40" fillId="33" borderId="5" xfId="0" applyNumberFormat="1" applyFont="1" applyFill="1" applyBorder="1" applyAlignment="1">
      <alignment horizontal="center"/>
    </xf>
    <xf numFmtId="0" fontId="36" fillId="32" borderId="5" xfId="0" applyFont="1" applyFill="1" applyBorder="1" applyAlignment="1">
      <alignment horizontal="center" vertical="center"/>
    </xf>
    <xf numFmtId="0" fontId="37" fillId="32" borderId="5" xfId="0" applyFont="1" applyFill="1" applyBorder="1" applyAlignment="1">
      <alignment horizontal="left" vertical="center" wrapText="1" indent="1"/>
    </xf>
    <xf numFmtId="0" fontId="38" fillId="32" borderId="5" xfId="0" applyFont="1" applyFill="1" applyBorder="1" applyAlignment="1">
      <alignment horizontal="center" vertical="center"/>
    </xf>
    <xf numFmtId="4" fontId="39" fillId="32" borderId="5" xfId="0" applyNumberFormat="1" applyFont="1" applyFill="1" applyBorder="1" applyAlignment="1">
      <alignment horizontal="center" vertical="center"/>
    </xf>
    <xf numFmtId="4" fontId="34" fillId="31" borderId="9" xfId="0" applyNumberFormat="1" applyFont="1" applyFill="1" applyBorder="1" applyAlignment="1">
      <alignment horizontal="center" vertical="center"/>
    </xf>
    <xf numFmtId="0" fontId="35" fillId="34" borderId="5" xfId="0" applyFont="1" applyFill="1" applyBorder="1" applyAlignment="1">
      <alignment horizontal="center" vertical="center"/>
    </xf>
    <xf numFmtId="0" fontId="39" fillId="32" borderId="5" xfId="0" applyFont="1" applyFill="1" applyBorder="1" applyAlignment="1">
      <alignment horizontal="center" vertical="center"/>
    </xf>
    <xf numFmtId="0" fontId="34" fillId="31" borderId="9" xfId="0" applyFont="1" applyFill="1" applyBorder="1" applyAlignment="1">
      <alignment horizontal="center" vertical="center"/>
    </xf>
    <xf numFmtId="0" fontId="35" fillId="35" borderId="5" xfId="0" applyFont="1" applyFill="1" applyBorder="1" applyAlignment="1">
      <alignment horizontal="center" vertical="center"/>
    </xf>
    <xf numFmtId="0" fontId="35" fillId="36" borderId="5" xfId="0" applyFont="1" applyFill="1" applyBorder="1" applyAlignment="1">
      <alignment horizontal="center" vertical="center"/>
    </xf>
    <xf numFmtId="0" fontId="35" fillId="37" borderId="5" xfId="0" applyFont="1" applyFill="1" applyBorder="1" applyAlignment="1">
      <alignment horizontal="center" vertical="center"/>
    </xf>
    <xf numFmtId="0" fontId="35" fillId="38" borderId="5" xfId="0" applyFont="1" applyFill="1" applyBorder="1" applyAlignment="1">
      <alignment horizontal="center" vertical="center"/>
    </xf>
    <xf numFmtId="0" fontId="35" fillId="39" borderId="5" xfId="0" applyFont="1" applyFill="1" applyBorder="1" applyAlignment="1">
      <alignment horizontal="center" vertical="center"/>
    </xf>
    <xf numFmtId="0" fontId="35" fillId="40" borderId="5" xfId="0" applyFont="1" applyFill="1" applyBorder="1" applyAlignment="1">
      <alignment horizontal="center" vertical="center"/>
    </xf>
    <xf numFmtId="0" fontId="35" fillId="41" borderId="5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vertical="top" wrapText="1"/>
    </xf>
    <xf numFmtId="0" fontId="14" fillId="14" borderId="4" xfId="0" applyFont="1" applyFill="1" applyBorder="1" applyAlignment="1">
      <alignment vertical="top" wrapText="1"/>
    </xf>
    <xf numFmtId="0" fontId="18" fillId="2" borderId="0" xfId="0" applyFont="1" applyFill="1" applyAlignment="1">
      <alignment horizontal="center" vertical="center"/>
    </xf>
    <xf numFmtId="0" fontId="0" fillId="0" borderId="0" xfId="0"/>
    <xf numFmtId="49" fontId="9" fillId="11" borderId="1" xfId="0" applyNumberFormat="1" applyFont="1" applyFill="1" applyBorder="1" applyAlignment="1">
      <alignment horizontal="center" vertical="center"/>
    </xf>
    <xf numFmtId="0" fontId="0" fillId="0" borderId="10" xfId="0" applyBorder="1"/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21" fillId="5" borderId="12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8" fillId="28" borderId="0" xfId="0" applyFont="1" applyFill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33" fillId="36" borderId="0" xfId="0" applyFont="1" applyFill="1" applyAlignment="1">
      <alignment horizontal="left" vertical="center" indent="1"/>
    </xf>
    <xf numFmtId="0" fontId="33" fillId="37" borderId="0" xfId="0" applyFont="1" applyFill="1" applyAlignment="1">
      <alignment horizontal="left" vertical="center" indent="1"/>
    </xf>
    <xf numFmtId="0" fontId="33" fillId="5" borderId="0" xfId="0" applyFont="1" applyFill="1" applyAlignment="1">
      <alignment horizontal="left" vertical="center" indent="1"/>
    </xf>
    <xf numFmtId="0" fontId="31" fillId="30" borderId="0" xfId="0" applyFont="1" applyFill="1" applyAlignment="1">
      <alignment horizontal="left" vertical="center"/>
    </xf>
    <xf numFmtId="0" fontId="33" fillId="39" borderId="0" xfId="0" applyFont="1" applyFill="1" applyAlignment="1">
      <alignment horizontal="left" vertical="center" indent="1"/>
    </xf>
    <xf numFmtId="0" fontId="33" fillId="35" borderId="0" xfId="0" applyFont="1" applyFill="1" applyAlignment="1">
      <alignment horizontal="left" vertical="center" indent="1"/>
    </xf>
    <xf numFmtId="0" fontId="33" fillId="34" borderId="0" xfId="0" applyFont="1" applyFill="1" applyAlignment="1">
      <alignment horizontal="left" vertical="center" indent="1"/>
    </xf>
    <xf numFmtId="0" fontId="33" fillId="41" borderId="0" xfId="0" applyFont="1" applyFill="1" applyAlignment="1">
      <alignment horizontal="left" vertical="center" indent="1"/>
    </xf>
    <xf numFmtId="0" fontId="30" fillId="29" borderId="6" xfId="0" applyFont="1" applyFill="1" applyBorder="1" applyAlignment="1">
      <alignment horizontal="center" vertical="center"/>
    </xf>
    <xf numFmtId="0" fontId="0" fillId="0" borderId="11" xfId="0" applyBorder="1"/>
    <xf numFmtId="0" fontId="33" fillId="40" borderId="0" xfId="0" applyFont="1" applyFill="1" applyAlignment="1">
      <alignment horizontal="left" vertical="center" indent="1"/>
    </xf>
    <xf numFmtId="0" fontId="33" fillId="38" borderId="0" xfId="0" applyFont="1" applyFill="1" applyAlignment="1">
      <alignment horizontal="left" vertical="center" indent="1"/>
    </xf>
  </cellXfs>
  <cellStyles count="1">
    <cellStyle name="Normal" xfId="0" builtinId="0"/>
  </cellStyles>
  <dxfs count="12">
    <dxf>
      <font>
        <b/>
        <color rgb="FFCC0000"/>
      </font>
      <fill>
        <patternFill>
          <bgColor rgb="FFFFE0E0"/>
        </patternFill>
      </fill>
    </dxf>
    <dxf>
      <font>
        <b/>
        <color rgb="FFCC6600"/>
      </font>
      <fill>
        <patternFill>
          <bgColor rgb="FFFFE4B5"/>
        </patternFill>
      </fill>
    </dxf>
    <dxf>
      <font>
        <b/>
        <color rgb="FF006600"/>
      </font>
      <fill>
        <patternFill>
          <bgColor rgb="FFCCFFCC"/>
        </patternFill>
      </fill>
    </dxf>
    <dxf>
      <font>
        <color rgb="FF666666"/>
      </font>
      <fill>
        <patternFill>
          <bgColor rgb="FFD3D3D3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color rgb="FF003399"/>
      </font>
      <fill>
        <patternFill>
          <bgColor rgb="FFDDEEFF"/>
        </patternFill>
      </fill>
    </dxf>
    <dxf>
      <font>
        <b/>
        <color rgb="FF006600"/>
      </font>
      <fill>
        <patternFill>
          <bgColor rgb="FFCCFFCC"/>
        </patternFill>
      </fill>
    </dxf>
    <dxf>
      <font>
        <b/>
        <color rgb="FFFFFFFF"/>
      </font>
      <fill>
        <patternFill>
          <bgColor rgb="FFFF9933"/>
        </patternFill>
      </fill>
    </dxf>
    <dxf>
      <font>
        <b/>
        <color rgb="FFFFFFFF"/>
      </font>
      <fill>
        <patternFill>
          <bgColor rgb="FFFF4444"/>
        </patternFill>
      </fill>
    </dxf>
    <dxf>
      <font>
        <b/>
        <color rgb="FF006600"/>
      </font>
      <fill>
        <patternFill>
          <bgColor rgb="FFCCFFCC"/>
        </patternFill>
      </fill>
    </dxf>
    <dxf>
      <font>
        <b/>
        <color rgb="FFCC6600"/>
      </font>
      <fill>
        <patternFill>
          <bgColor rgb="FFFFFF99"/>
        </patternFill>
      </fill>
    </dxf>
    <dxf>
      <font>
        <b/>
        <color rgb="FFCC0000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2CC"/>
      <rgbColor rgb="FF0000FF"/>
      <rgbColor rgb="FFFFE066"/>
      <rgbColor rgb="FFFF4444"/>
      <rgbColor rgb="FFEAFAF1"/>
      <rgbColor rgb="FFC50000"/>
      <rgbColor rgb="FF006600"/>
      <rgbColor rgb="FFFEF9EC"/>
      <rgbColor rgb="FF627612"/>
      <rgbColor rgb="FFFFF3CD"/>
      <rgbColor rgb="FF1F4C7A"/>
      <rgbColor rgb="FFBFBFBF"/>
      <rgbColor rgb="FFBF8F00"/>
      <rgbColor rgb="FFE0ECFF"/>
      <rgbColor rgb="FF7030A0"/>
      <rgbColor rgb="FFFFF9C4"/>
      <rgbColor rgb="FFD6FFD6"/>
      <rgbColor rgb="FFF5F5F5"/>
      <rgbColor rgb="FFFF4C4C"/>
      <rgbColor rgb="FF2E75B6"/>
      <rgbColor rgb="FFBBD6EE"/>
      <rgbColor rgb="FFFFF9E6"/>
      <rgbColor rgb="FFFDEDEC"/>
      <rgbColor rgb="FFFFE4B5"/>
      <rgbColor rgb="FFEBF5FB"/>
      <rgbColor rgb="FFF2F4F7"/>
      <rgbColor rgb="FFFEF5E7"/>
      <rgbColor rgb="FFFFE0E0"/>
      <rgbColor rgb="FFF4F6F8"/>
      <rgbColor rgb="FFEBF3FB"/>
      <rgbColor rgb="FFDDEEFF"/>
      <rgbColor rgb="FFCCFFCC"/>
      <rgbColor rgb="FFFEFF97"/>
      <rgbColor rgb="FFD1D1D1"/>
      <rgbColor rgb="FFFFDAD6"/>
      <rgbColor rgb="FFDDDDDD"/>
      <rgbColor rgb="FFFFCCCC"/>
      <rgbColor rgb="FF4472C4"/>
      <rgbColor rgb="FFE2EFDA"/>
      <rgbColor rgb="FF70AD47"/>
      <rgbColor rgb="FFFEA436"/>
      <rgbColor rgb="FFFFA500"/>
      <rgbColor rgb="FFCC6600"/>
      <rgbColor rgb="FFD68910"/>
      <rgbColor rgb="FFAAAAAA"/>
      <rgbColor rgb="FF193767"/>
      <rgbColor rgb="FF1E8449"/>
      <rgbColor rgb="FF173C5D"/>
      <rgbColor rgb="FF3F562F"/>
      <rgbColor rgb="FFC0392B"/>
      <rgbColor rgb="FFCA5909"/>
      <rgbColor rgb="FF243B62"/>
      <rgbColor rgb="FF1E24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_MOTEUR_!$C$1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D8F080"/>
            </a:solidFill>
            <a:ln w="20160">
              <a:solidFill>
                <a:srgbClr val="2E75B6"/>
              </a:solidFill>
              <a:prstDash val="solid"/>
              <a:round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_MOTEUR_!$B$2:$B$10</c:f>
              <c:strCache>
                <c:ptCount val="9"/>
                <c:pt idx="0">
                  <c:v>Planif. Stratégique</c:v>
                </c:pt>
                <c:pt idx="1">
                  <c:v>BU Telco</c:v>
                </c:pt>
                <c:pt idx="2">
                  <c:v>BU Digital</c:v>
                </c:pt>
                <c:pt idx="3">
                  <c:v>BU Formation</c:v>
                </c:pt>
                <c:pt idx="4">
                  <c:v>RH &amp; Compétences</c:v>
                </c:pt>
                <c:pt idx="5">
                  <c:v>Finance &amp; Admin</c:v>
                </c:pt>
                <c:pt idx="6">
                  <c:v>Infrastructure IT</c:v>
                </c:pt>
                <c:pt idx="7">
                  <c:v>Commercial B.O.</c:v>
                </c:pt>
                <c:pt idx="8">
                  <c:v>Mgmt Qualité</c:v>
                </c:pt>
              </c:strCache>
            </c:strRef>
          </c:cat>
          <c:val>
            <c:numRef>
              <c:f>_MOTEUR_!$C$2:$C$10</c:f>
              <c:numCache>
                <c:formatCode>General</c:formatCode>
                <c:ptCount val="9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6-4CCD-B863-E537F5B92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84860"/>
        <c:axId val="1216507"/>
      </c:radarChart>
      <c:catAx>
        <c:axId val="806848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TN"/>
          </a:p>
        </c:txPr>
        <c:crossAx val="1216507"/>
        <c:crosses val="autoZero"/>
        <c:auto val="1"/>
        <c:lblAlgn val="ctr"/>
        <c:lblOffset val="100"/>
        <c:noMultiLvlLbl val="0"/>
      </c:catAx>
      <c:valAx>
        <c:axId val="1216507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TN"/>
          </a:p>
        </c:txPr>
        <c:crossAx val="80684860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105840</xdr:colOff>
      <xdr:row>24</xdr:row>
      <xdr:rowOff>167003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showGridLines="0" topLeftCell="B1" zoomScale="92" zoomScaleNormal="130" workbookViewId="0">
      <selection activeCell="H3" sqref="H3"/>
    </sheetView>
  </sheetViews>
  <sheetFormatPr baseColWidth="10" defaultColWidth="8.6640625" defaultRowHeight="14.4" x14ac:dyDescent="0.3"/>
  <cols>
    <col min="1" max="1" width="1.21875" style="24" customWidth="1"/>
    <col min="2" max="7" width="14" style="24" customWidth="1"/>
    <col min="8" max="8" width="22.88671875" style="24" customWidth="1"/>
    <col min="9" max="10" width="1.21875" style="24" customWidth="1"/>
    <col min="11" max="11" width="13" style="24" customWidth="1"/>
    <col min="12" max="12" width="69.77734375" style="24" customWidth="1"/>
    <col min="13" max="13" width="13" style="24" customWidth="1"/>
    <col min="14" max="14" width="1.21875" style="24" hidden="1" customWidth="1"/>
    <col min="26" max="28" width="0.44140625" style="24" customWidth="1"/>
  </cols>
  <sheetData>
    <row r="1" spans="1:28" ht="4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Z1" s="2"/>
      <c r="AA1" s="2"/>
      <c r="AB1" s="2"/>
    </row>
    <row r="2" spans="1:28" ht="37.5" customHeight="1" x14ac:dyDescent="0.3">
      <c r="A2" s="1"/>
      <c r="B2" s="90" t="s">
        <v>0</v>
      </c>
      <c r="C2" s="87"/>
      <c r="D2" s="87"/>
      <c r="E2" s="87"/>
      <c r="F2" s="87"/>
      <c r="G2" s="87"/>
      <c r="H2" s="87"/>
      <c r="I2" s="1"/>
      <c r="J2" s="1"/>
      <c r="K2" s="1"/>
      <c r="L2" s="1"/>
      <c r="M2" s="1"/>
      <c r="N2" s="1"/>
      <c r="O2" s="1"/>
      <c r="Z2" s="3"/>
      <c r="AA2" s="3"/>
      <c r="AB2" s="4"/>
    </row>
    <row r="3" spans="1:28" ht="25.5" customHeight="1" x14ac:dyDescent="0.3">
      <c r="A3" s="5"/>
      <c r="B3" s="96" t="s">
        <v>1</v>
      </c>
      <c r="C3" s="87"/>
      <c r="D3" s="87"/>
      <c r="E3" s="87"/>
      <c r="F3" s="87"/>
      <c r="G3" s="6" t="s">
        <v>2</v>
      </c>
      <c r="H3" s="7" t="str">
        <f>'03_SUIVI_DATA'!E2</f>
        <v>Juin</v>
      </c>
      <c r="I3" s="5"/>
      <c r="J3" s="5"/>
      <c r="K3" s="5"/>
      <c r="L3" s="5"/>
      <c r="M3" s="5"/>
      <c r="N3" s="5"/>
      <c r="O3" s="5"/>
      <c r="Z3" s="3"/>
      <c r="AA3" s="3"/>
      <c r="AB3" s="4"/>
    </row>
    <row r="4" spans="1:28" ht="7.5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Z4" s="3"/>
      <c r="AA4" s="3"/>
      <c r="AB4" s="4"/>
    </row>
    <row r="5" spans="1:28" ht="19.5" customHeight="1" x14ac:dyDescent="0.3">
      <c r="A5" s="8"/>
      <c r="B5" s="94" t="s">
        <v>3</v>
      </c>
      <c r="C5" s="89"/>
      <c r="D5" s="97" t="s">
        <v>4</v>
      </c>
      <c r="E5" s="89"/>
      <c r="F5" s="95" t="s">
        <v>5</v>
      </c>
      <c r="G5" s="89"/>
      <c r="H5" s="9" t="s">
        <v>6</v>
      </c>
      <c r="I5" s="8"/>
      <c r="J5" s="8"/>
      <c r="K5" s="8"/>
      <c r="L5" s="8"/>
      <c r="M5" s="8"/>
      <c r="N5" s="8"/>
      <c r="O5" s="8"/>
      <c r="Z5" s="3"/>
      <c r="AA5" s="3"/>
      <c r="AB5" s="4"/>
    </row>
    <row r="6" spans="1:28" ht="39.75" customHeight="1" x14ac:dyDescent="0.3">
      <c r="A6" s="8"/>
      <c r="B6" s="99">
        <f>IFERROR(IF(AVERAGE('6.2.1 Objectifs SMART'!L6:L54)=0,"S.O.",AVERAGE('6.2.1 Objectifs SMART'!L6:L54)),"S.O.")</f>
        <v>2.564102564102564E-2</v>
      </c>
      <c r="C6" s="89"/>
      <c r="D6" s="98">
        <f>COUNTIF('6.2.1 Objectifs SMART'!M:M,"Alerte")</f>
        <v>38</v>
      </c>
      <c r="E6" s="89"/>
      <c r="F6" s="88" t="str">
        <f>IFERROR(IF('6.2.1 Objectifs SMART'!K50="","En attente",IF('6.2.1 Objectifs SMART'!K50&gt;=1,"✅ OBTENUE",TEXT('6.2.1 Objectifs SMART'!K50,"0%")&amp;" atteint")),"En att.")</f>
        <v>0% atteint</v>
      </c>
      <c r="G6" s="89"/>
      <c r="H6" s="10">
        <f ca="1">COUNTIF('6.2.2 Plan d''Actions'!H:H,"⚠️ RETARD")</f>
        <v>7</v>
      </c>
      <c r="I6" s="8"/>
      <c r="J6" s="8"/>
      <c r="K6" s="8"/>
      <c r="L6" s="8"/>
      <c r="M6" s="8"/>
      <c r="N6" s="8"/>
      <c r="O6" s="8"/>
      <c r="Z6" s="3"/>
      <c r="AA6" s="3"/>
      <c r="AB6" s="4"/>
    </row>
    <row r="7" spans="1:28" ht="19.5" customHeight="1" x14ac:dyDescent="0.3">
      <c r="A7" s="8"/>
      <c r="B7" s="101" t="s">
        <v>7</v>
      </c>
      <c r="C7" s="89"/>
      <c r="D7" s="100" t="s">
        <v>8</v>
      </c>
      <c r="E7" s="89"/>
      <c r="F7" s="92" t="s">
        <v>9</v>
      </c>
      <c r="G7" s="89"/>
      <c r="H7" s="11" t="s">
        <v>10</v>
      </c>
      <c r="I7" s="8"/>
      <c r="J7" s="8"/>
      <c r="K7" s="8"/>
      <c r="L7" s="8"/>
      <c r="M7" s="8"/>
      <c r="N7" s="8"/>
      <c r="O7" s="8"/>
      <c r="Z7" s="3"/>
      <c r="AA7" s="3"/>
      <c r="AB7" s="4"/>
    </row>
    <row r="8" spans="1:28" ht="7.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Z8" s="3"/>
      <c r="AA8" s="3"/>
      <c r="AB8" s="4"/>
    </row>
    <row r="9" spans="1:28" ht="21.75" customHeight="1" x14ac:dyDescent="0.3">
      <c r="A9" s="8"/>
      <c r="B9" s="102" t="s">
        <v>11</v>
      </c>
      <c r="C9" s="87"/>
      <c r="D9" s="87"/>
      <c r="E9" s="87"/>
      <c r="F9" s="87"/>
      <c r="G9" s="87"/>
      <c r="H9" s="87"/>
      <c r="I9" s="8"/>
      <c r="J9" s="8"/>
      <c r="K9" s="93" t="s">
        <v>12</v>
      </c>
      <c r="L9" s="87"/>
      <c r="M9" s="87"/>
      <c r="N9" s="8"/>
      <c r="O9" s="8"/>
      <c r="Z9" s="3"/>
      <c r="AA9" s="3"/>
      <c r="AB9" s="4"/>
    </row>
    <row r="10" spans="1:28" ht="39.7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12" t="s">
        <v>13</v>
      </c>
      <c r="L10" s="12" t="s">
        <v>14</v>
      </c>
      <c r="M10" s="12" t="s">
        <v>15</v>
      </c>
      <c r="N10" s="8"/>
      <c r="O10" s="8"/>
      <c r="Z10" s="3"/>
      <c r="AA10" s="3"/>
      <c r="AB10" s="4"/>
    </row>
    <row r="11" spans="1:28" ht="21.7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13" t="str">
        <f>'6.2.2 Plan d''Actions'!A7</f>
        <v>OQ-02</v>
      </c>
      <c r="L11" s="84" t="str">
        <f>LEFT('6.2.2 Plan d''Actions'!D7,80)&amp;"..."</f>
        <v>Figer les roadmaps BU en janvier. Mettre en place un processus de validation de ...</v>
      </c>
      <c r="M11" s="14" t="str">
        <f>'6.2.2 Plan d''Actions'!F7</f>
        <v>En cours</v>
      </c>
      <c r="N11" s="8"/>
      <c r="O11" s="8"/>
    </row>
    <row r="12" spans="1:28" ht="16.8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15" t="str">
        <f>'6.2.2 Plan d''Actions'!A28</f>
        <v>OQ-20</v>
      </c>
      <c r="L12" s="85" t="str">
        <f>LEFT('6.2.2 Plan d''Actions'!D28,80)&amp;"..."</f>
        <v>Définir l'objectif CA Formation avec la direction. Intégrer l'IA dans les progra...</v>
      </c>
      <c r="M12" s="16" t="str">
        <f>'6.2.2 Plan d''Actions'!F28</f>
        <v>À planifier</v>
      </c>
      <c r="N12" s="8"/>
      <c r="O12" s="8"/>
    </row>
    <row r="13" spans="1:28" ht="21.7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13" t="str">
        <f>'6.2.2 Plan d''Actions'!A37</f>
        <v>OQ-27</v>
      </c>
      <c r="L13" s="84" t="str">
        <f>LEFT('6.2.2 Plan d''Actions'!D37,80)&amp;"..."</f>
        <v>Automatiser la production des KPIs financiers via COSAP. Diffuser par mail à la ...</v>
      </c>
      <c r="M13" s="14" t="str">
        <f>'6.2.2 Plan d''Actions'!F37</f>
        <v>En cours</v>
      </c>
      <c r="N13" s="8"/>
      <c r="O13" s="8"/>
    </row>
    <row r="14" spans="1:28" ht="19.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15" t="str">
        <f>'6.2.2 Plan d''Actions'!A38</f>
        <v>OQ-28</v>
      </c>
      <c r="L14" s="85" t="str">
        <f>LEFT('6.2.2 Plan d''Actions'!D38,80)&amp;"..."</f>
        <v>Finaliser le développement du module financier COSAP. Tester les fonctionnalités...</v>
      </c>
      <c r="M14" s="16" t="str">
        <f>'6.2.2 Plan d''Actions'!F38</f>
        <v>En cours</v>
      </c>
      <c r="N14" s="8"/>
      <c r="O14" s="8"/>
    </row>
    <row r="15" spans="1:28" ht="19.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13" t="str">
        <f>'6.2.2 Plan d''Actions'!A26</f>
        <v>OQ-19</v>
      </c>
      <c r="L15" s="84" t="str">
        <f>LEFT('6.2.2 Plan d''Actions'!D26,80)&amp;"..."</f>
        <v>Optimiser les charges BU Digital. Augmenter le CA par diversification produits. ...</v>
      </c>
      <c r="M15" s="14" t="str">
        <f>'6.2.2 Plan d''Actions'!F26</f>
        <v>En cours</v>
      </c>
      <c r="N15" s="8"/>
      <c r="O15" s="8"/>
    </row>
    <row r="16" spans="1:28" ht="19.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9.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9.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7.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21.7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91" t="s">
        <v>16</v>
      </c>
      <c r="L20" s="87"/>
      <c r="M20" s="87"/>
      <c r="N20" s="8"/>
      <c r="O20" s="8"/>
    </row>
    <row r="21" spans="1:15" ht="18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17" t="s">
        <v>17</v>
      </c>
      <c r="L21" s="17" t="s">
        <v>18</v>
      </c>
      <c r="M21" s="17" t="s">
        <v>19</v>
      </c>
      <c r="N21" s="8"/>
      <c r="O21" s="8"/>
    </row>
    <row r="22" spans="1:15" ht="18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18" t="str">
        <f>_MOTEUR_!$A$2</f>
        <v>PM1</v>
      </c>
      <c r="L22" s="19" t="str">
        <f>_MOTEUR_!$B$2</f>
        <v>Planif. Stratégique</v>
      </c>
      <c r="M22" s="20" t="str">
        <f>IFERROR(IF(_MOTEUR_!C2&gt;=0.9,"✅ Atteint",IF(_MOTEUR_!C2&gt;=0.5,"🟡 En cours","🔴 Alerte")),"—")</f>
        <v>🔴 Alerte</v>
      </c>
      <c r="N22" s="8"/>
      <c r="O22" s="8"/>
    </row>
    <row r="23" spans="1:15" ht="18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21" t="str">
        <f>_MOTEUR_!$A$3</f>
        <v>PR1</v>
      </c>
      <c r="L23" s="22" t="str">
        <f>_MOTEUR_!$B$3</f>
        <v>BU Telco</v>
      </c>
      <c r="M23" s="23" t="str">
        <f>IFERROR(IF(_MOTEUR_!C3&gt;=0.9,"✅ Atteint",IF(_MOTEUR_!C3&gt;=0.5,"🟡 En cours","🔴 Alerte")),"—")</f>
        <v>🔴 Alerte</v>
      </c>
      <c r="N23" s="8"/>
      <c r="O23" s="8"/>
    </row>
    <row r="24" spans="1:15" ht="18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18" t="str">
        <f>_MOTEUR_!$A$4</f>
        <v>PR2</v>
      </c>
      <c r="L24" s="19" t="str">
        <f>_MOTEUR_!$B$4</f>
        <v>BU Digital</v>
      </c>
      <c r="M24" s="20" t="str">
        <f>IFERROR(IF(_MOTEUR_!C4&gt;=0.9,"✅ Atteint",IF(_MOTEUR_!C4&gt;=0.5,"🟡 En cours","🔴 Alerte")),"—")</f>
        <v>🔴 Alerte</v>
      </c>
      <c r="N24" s="8"/>
      <c r="O24" s="8"/>
    </row>
    <row r="25" spans="1:15" ht="18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21" t="str">
        <f>_MOTEUR_!$A$5</f>
        <v>PR3</v>
      </c>
      <c r="L25" s="22" t="str">
        <f>_MOTEUR_!$B$5</f>
        <v>BU Formation</v>
      </c>
      <c r="M25" s="23" t="str">
        <f>IFERROR(IF(_MOTEUR_!C5&gt;=0.9,"✅ Atteint",IF(_MOTEUR_!C5&gt;=0.5,"🟡 En cours","🔴 Alerte")),"—")</f>
        <v>🔴 Alerte</v>
      </c>
      <c r="N25" s="8"/>
      <c r="O25" s="8"/>
    </row>
    <row r="26" spans="1:15" ht="18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18" t="str">
        <f>_MOTEUR_!$A$6</f>
        <v>PS1</v>
      </c>
      <c r="L26" s="19" t="str">
        <f>_MOTEUR_!$B$6</f>
        <v>RH &amp; Compétences</v>
      </c>
      <c r="M26" s="20" t="str">
        <f>IFERROR(IF(_MOTEUR_!C6&gt;=0.9,"✅ Atteint",IF(_MOTEUR_!C6&gt;=0.5,"🟡 En cours","🔴 Alerte")),"—")</f>
        <v>🔴 Alerte</v>
      </c>
      <c r="N26" s="8"/>
      <c r="O26" s="8"/>
    </row>
    <row r="27" spans="1:15" ht="18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21" t="str">
        <f>_MOTEUR_!$A$7</f>
        <v>PS2</v>
      </c>
      <c r="L27" s="22" t="str">
        <f>_MOTEUR_!$B$7</f>
        <v>Finance &amp; Admin</v>
      </c>
      <c r="M27" s="23" t="str">
        <f>IFERROR(IF(_MOTEUR_!C7&gt;=0.9,"✅ Atteint",IF(_MOTEUR_!C7&gt;=0.5,"🟡 En cours","🔴 Alerte")),"—")</f>
        <v>🔴 Alerte</v>
      </c>
      <c r="N27" s="8"/>
      <c r="O27" s="8"/>
    </row>
    <row r="28" spans="1:15" ht="18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18" t="str">
        <f>_MOTEUR_!$A$8</f>
        <v>PS3</v>
      </c>
      <c r="L28" s="19" t="str">
        <f>_MOTEUR_!$B$8</f>
        <v>Infrastructure IT</v>
      </c>
      <c r="M28" s="20" t="str">
        <f>IFERROR(IF(_MOTEUR_!C8&gt;=0.9,"✅ Atteint",IF(_MOTEUR_!C8&gt;=0.5,"🟡 En cours","🔴 Alerte")),"—")</f>
        <v>🔴 Alerte</v>
      </c>
      <c r="N28" s="8"/>
      <c r="O28" s="8"/>
    </row>
    <row r="29" spans="1:15" ht="7.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21" t="str">
        <f>_MOTEUR_!$A$9</f>
        <v>PS4</v>
      </c>
      <c r="L29" s="22" t="str">
        <f>_MOTEUR_!$B$9</f>
        <v>Commercial B.O.</v>
      </c>
      <c r="M29" s="23" t="str">
        <f>IFERROR(IF(_MOTEUR_!C9&gt;=0.9,"✅ Atteint",IF(_MOTEUR_!C9&gt;=0.5,"🟡 En cours","🔴 Alerte")),"—")</f>
        <v>🔴 Alerte</v>
      </c>
      <c r="N29" s="8"/>
      <c r="O29" s="8"/>
    </row>
    <row r="30" spans="1:15" ht="15.75" customHeight="1" x14ac:dyDescent="0.3">
      <c r="A30" s="8"/>
      <c r="B30" s="86" t="s">
        <v>20</v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"/>
    </row>
    <row r="31" spans="1:15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</sheetData>
  <mergeCells count="15">
    <mergeCell ref="B30:N30"/>
    <mergeCell ref="F6:G6"/>
    <mergeCell ref="B2:H2"/>
    <mergeCell ref="K20:M20"/>
    <mergeCell ref="F7:G7"/>
    <mergeCell ref="K9:M9"/>
    <mergeCell ref="B5:C5"/>
    <mergeCell ref="F5:G5"/>
    <mergeCell ref="B3:F3"/>
    <mergeCell ref="D5:E5"/>
    <mergeCell ref="D6:E6"/>
    <mergeCell ref="B6:C6"/>
    <mergeCell ref="D7:E7"/>
    <mergeCell ref="B7:C7"/>
    <mergeCell ref="B9:H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zoomScaleNormal="98" workbookViewId="0">
      <pane ySplit="4" topLeftCell="A5" activePane="bottomLeft" state="frozen"/>
      <selection activeCell="Q18" sqref="Q18"/>
      <selection pane="bottomLeft" activeCell="L7" sqref="L7"/>
    </sheetView>
  </sheetViews>
  <sheetFormatPr baseColWidth="10" defaultColWidth="8.6640625" defaultRowHeight="14.4" x14ac:dyDescent="0.3"/>
  <cols>
    <col min="1" max="1" width="8" style="24" customWidth="1"/>
    <col min="2" max="2" width="14" style="24" customWidth="1"/>
    <col min="3" max="3" width="12" style="24" customWidth="1"/>
    <col min="4" max="4" width="22" style="24" customWidth="1"/>
    <col min="5" max="5" width="55" style="24" customWidth="1"/>
    <col min="6" max="7" width="40" style="24" customWidth="1"/>
    <col min="8" max="8" width="22.88671875" style="24" customWidth="1"/>
    <col min="9" max="10" width="14" style="24" customWidth="1"/>
    <col min="11" max="12" width="12" style="24" customWidth="1"/>
    <col min="13" max="13" width="8" style="24" customWidth="1"/>
    <col min="14" max="14" width="22" style="24" customWidth="1"/>
    <col min="15" max="15" width="13" style="24" customWidth="1"/>
  </cols>
  <sheetData>
    <row r="1" spans="1:15" ht="27.75" customHeight="1" x14ac:dyDescent="0.3">
      <c r="A1" s="105" t="s">
        <v>21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15.75" customHeight="1" x14ac:dyDescent="0.3">
      <c r="A2" s="106" t="s">
        <v>22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6" customHeight="1" x14ac:dyDescent="0.3"/>
    <row r="4" spans="1:15" ht="42" customHeight="1" x14ac:dyDescent="0.3">
      <c r="A4" s="25" t="s">
        <v>13</v>
      </c>
      <c r="B4" s="25" t="s">
        <v>17</v>
      </c>
      <c r="C4" s="25" t="s">
        <v>23</v>
      </c>
      <c r="D4" s="25" t="s">
        <v>24</v>
      </c>
      <c r="E4" s="25" t="s">
        <v>25</v>
      </c>
      <c r="F4" s="25" t="s">
        <v>26</v>
      </c>
      <c r="G4" s="25" t="s">
        <v>27</v>
      </c>
      <c r="H4" s="25" t="s">
        <v>28</v>
      </c>
      <c r="I4" s="25" t="s">
        <v>29</v>
      </c>
      <c r="J4" s="25" t="s">
        <v>30</v>
      </c>
      <c r="K4" s="25" t="s">
        <v>31</v>
      </c>
      <c r="L4" s="25" t="s">
        <v>32</v>
      </c>
      <c r="M4" s="25" t="s">
        <v>15</v>
      </c>
      <c r="N4" s="25" t="s">
        <v>33</v>
      </c>
      <c r="O4" s="25" t="s">
        <v>34</v>
      </c>
    </row>
    <row r="5" spans="1:15" ht="19.5" customHeight="1" x14ac:dyDescent="0.3">
      <c r="A5" s="103" t="s">
        <v>35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ht="42" customHeight="1" x14ac:dyDescent="0.3">
      <c r="A6" s="26" t="s">
        <v>36</v>
      </c>
      <c r="B6" s="26" t="s">
        <v>37</v>
      </c>
      <c r="C6" s="26" t="s">
        <v>38</v>
      </c>
      <c r="D6" s="26" t="s">
        <v>39</v>
      </c>
      <c r="E6" s="27" t="s">
        <v>40</v>
      </c>
      <c r="F6" s="27" t="s">
        <v>41</v>
      </c>
      <c r="G6" s="26" t="s">
        <v>42</v>
      </c>
      <c r="H6" s="28" t="s">
        <v>43</v>
      </c>
      <c r="I6" s="26">
        <v>0</v>
      </c>
      <c r="J6" s="29">
        <v>0.3</v>
      </c>
      <c r="K6" s="30">
        <f>IFERROR(INDEX('03_SUIVI_DATA'!$E$5:$P$200,MATCH($A6,'03_SUIVI_DATA'!$B$5:$B$200,0),MATCH('03_SUIVI_DATA'!$E$2,'03_SUIVI_DATA'!$E$4:$P$4,0)),"")</f>
        <v>0</v>
      </c>
      <c r="L6" s="31">
        <f>IF(OR(K6="",J6=0),"",IF(H6="MAX",K6/J6,IF(K6&lt;=J6,1,J6/K6)))</f>
        <v>0</v>
      </c>
      <c r="M6" s="32" t="s">
        <v>535</v>
      </c>
      <c r="N6" s="26" t="s">
        <v>44</v>
      </c>
      <c r="O6" s="26" t="s">
        <v>45</v>
      </c>
    </row>
    <row r="7" spans="1:15" ht="41.25" customHeight="1" x14ac:dyDescent="0.3">
      <c r="A7" s="33" t="s">
        <v>46</v>
      </c>
      <c r="B7" s="33" t="s">
        <v>37</v>
      </c>
      <c r="C7" s="33" t="s">
        <v>47</v>
      </c>
      <c r="D7" s="33" t="s">
        <v>39</v>
      </c>
      <c r="E7" s="34" t="s">
        <v>48</v>
      </c>
      <c r="F7" s="34" t="s">
        <v>49</v>
      </c>
      <c r="G7" s="33" t="s">
        <v>50</v>
      </c>
      <c r="H7" s="28" t="s">
        <v>51</v>
      </c>
      <c r="I7" s="33" t="s">
        <v>52</v>
      </c>
      <c r="J7" s="35">
        <v>1</v>
      </c>
      <c r="K7" s="36">
        <f>IFERROR(INDEX('03_SUIVI_DATA'!$E$5:$P$200,MATCH($A7,'03_SUIVI_DATA'!$B$5:$B$200,0),MATCH('03_SUIVI_DATA'!$E$2,'03_SUIVI_DATA'!$E$4:$P$4,0)),"")</f>
        <v>0</v>
      </c>
      <c r="L7" s="31">
        <f>IF(OR(K7="",J7=0),"",IF(H7="MAX",K7/J7,IF(K7&lt;=J7,1,J7/K7)))</f>
        <v>1</v>
      </c>
      <c r="M7" s="32" t="str">
        <f>IF(K7="","À saisir",IF(L7="","",IF(L7&lt;0.5,"Alerte",IF(L7&lt;0.9,"En cours","Terminé"))))</f>
        <v>Terminé</v>
      </c>
      <c r="N7" s="33" t="s">
        <v>44</v>
      </c>
      <c r="O7" s="33" t="s">
        <v>53</v>
      </c>
    </row>
    <row r="8" spans="1:15" ht="42.75" customHeight="1" x14ac:dyDescent="0.3">
      <c r="A8" s="26" t="s">
        <v>54</v>
      </c>
      <c r="B8" s="26" t="s">
        <v>37</v>
      </c>
      <c r="C8" s="26" t="s">
        <v>55</v>
      </c>
      <c r="D8" s="26" t="s">
        <v>56</v>
      </c>
      <c r="E8" s="27" t="s">
        <v>57</v>
      </c>
      <c r="F8" s="27" t="s">
        <v>58</v>
      </c>
      <c r="G8" s="26" t="s">
        <v>50</v>
      </c>
      <c r="H8" s="28" t="s">
        <v>43</v>
      </c>
      <c r="I8" s="26" t="s">
        <v>59</v>
      </c>
      <c r="J8" s="29">
        <v>0.2</v>
      </c>
      <c r="K8" s="36">
        <f>IFERROR(INDEX('03_SUIVI_DATA'!$E$5:$P$200,MATCH($A8,'03_SUIVI_DATA'!$B$5:$B$200,0),MATCH('03_SUIVI_DATA'!$E$2,'03_SUIVI_DATA'!$E$4:$P$4,0)),"")</f>
        <v>0</v>
      </c>
      <c r="L8" s="31">
        <f>IF(OR(K8="",J8=0),"",IF(H8="MAX",K8/J8,IF(K8&lt;=J8,1,J8/K8)))</f>
        <v>0</v>
      </c>
      <c r="M8" s="37" t="str">
        <f>IF(K8="","À saisir",IF(L8="","",IF(L8&lt;0.5,"Alerte",IF(L8&lt;0.9,"En cours","Terminé"))))</f>
        <v>Alerte</v>
      </c>
      <c r="N8" s="26" t="s">
        <v>60</v>
      </c>
      <c r="O8" s="26" t="s">
        <v>53</v>
      </c>
    </row>
    <row r="9" spans="1:15" ht="39" customHeight="1" x14ac:dyDescent="0.3">
      <c r="A9" s="33" t="s">
        <v>61</v>
      </c>
      <c r="B9" s="33" t="s">
        <v>37</v>
      </c>
      <c r="C9" s="33" t="s">
        <v>62</v>
      </c>
      <c r="D9" s="33" t="s">
        <v>63</v>
      </c>
      <c r="E9" s="34" t="s">
        <v>64</v>
      </c>
      <c r="F9" s="34" t="s">
        <v>65</v>
      </c>
      <c r="G9" s="33" t="s">
        <v>50</v>
      </c>
      <c r="H9" s="28" t="s">
        <v>43</v>
      </c>
      <c r="I9" s="33" t="s">
        <v>66</v>
      </c>
      <c r="J9" s="35">
        <v>6</v>
      </c>
      <c r="K9" s="36">
        <f>IFERROR(INDEX('03_SUIVI_DATA'!$E$5:$P$200,MATCH($A9,'03_SUIVI_DATA'!$B$5:$B$200,0),MATCH('03_SUIVI_DATA'!$E$2,'03_SUIVI_DATA'!$E$4:$P$4,0)),"")</f>
        <v>0</v>
      </c>
      <c r="L9" s="31">
        <f>IF(OR(K9="",J9=0),"",IF(H9="MAX",K9/J9,IF(K9&lt;=J9,1,J9/K9)))</f>
        <v>0</v>
      </c>
      <c r="M9" s="37" t="str">
        <f>IF(K9="","À saisir",IF(L9="","",IF(L9&lt;0.5,"Alerte",IF(L9&lt;0.9,"En cours","Terminé"))))</f>
        <v>Alerte</v>
      </c>
      <c r="N9" s="33" t="s">
        <v>44</v>
      </c>
      <c r="O9" s="33" t="s">
        <v>67</v>
      </c>
    </row>
    <row r="10" spans="1:15" ht="39.75" customHeight="1" x14ac:dyDescent="0.3">
      <c r="A10" s="26" t="s">
        <v>68</v>
      </c>
      <c r="B10" s="26" t="s">
        <v>37</v>
      </c>
      <c r="C10" s="26" t="s">
        <v>69</v>
      </c>
      <c r="D10" s="26" t="s">
        <v>39</v>
      </c>
      <c r="E10" s="27" t="s">
        <v>70</v>
      </c>
      <c r="F10" s="27" t="s">
        <v>71</v>
      </c>
      <c r="G10" s="26" t="s">
        <v>72</v>
      </c>
      <c r="H10" s="28" t="s">
        <v>43</v>
      </c>
      <c r="I10" s="26" t="s">
        <v>73</v>
      </c>
      <c r="J10" s="29">
        <v>0.5</v>
      </c>
      <c r="K10" s="36">
        <f>IFERROR(INDEX('03_SUIVI_DATA'!$E$5:$P$200,MATCH($A10,'03_SUIVI_DATA'!$B$5:$B$200,0),MATCH('03_SUIVI_DATA'!$E$2,'03_SUIVI_DATA'!$E$4:$P$4,0)),"")</f>
        <v>0</v>
      </c>
      <c r="L10" s="31">
        <f>IF(OR(K10="",J10=0),"",IF(H10="MAX",K10/J10,IF(K10&lt;=J10,1,J10/K10)))</f>
        <v>0</v>
      </c>
      <c r="M10" s="32" t="str">
        <f>IF(K10="","À saisir",IF(L10="","",IF(L10&lt;0.5,"Alerte",IF(L10&lt;0.9,"En cours","Terminé"))))</f>
        <v>Alerte</v>
      </c>
      <c r="N10" s="26" t="s">
        <v>44</v>
      </c>
      <c r="O10" s="26" t="s">
        <v>74</v>
      </c>
    </row>
    <row r="11" spans="1:15" ht="19.5" customHeight="1" x14ac:dyDescent="0.3">
      <c r="A11" s="103" t="s">
        <v>75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ht="39" customHeight="1" x14ac:dyDescent="0.3">
      <c r="A12" s="26" t="s">
        <v>76</v>
      </c>
      <c r="B12" s="26" t="s">
        <v>77</v>
      </c>
      <c r="C12" s="26" t="s">
        <v>69</v>
      </c>
      <c r="D12" s="26" t="s">
        <v>63</v>
      </c>
      <c r="E12" s="27" t="s">
        <v>78</v>
      </c>
      <c r="F12" s="27" t="s">
        <v>79</v>
      </c>
      <c r="G12" s="26" t="s">
        <v>42</v>
      </c>
      <c r="H12" s="28" t="s">
        <v>43</v>
      </c>
      <c r="I12" s="26" t="s">
        <v>66</v>
      </c>
      <c r="J12" s="38">
        <v>2</v>
      </c>
      <c r="K12" s="36">
        <f>IFERROR(INDEX('03_SUIVI_DATA'!$E$5:$P$200,MATCH($A12,'03_SUIVI_DATA'!$B$5:$B$200,0),MATCH('03_SUIVI_DATA'!$E$2,'03_SUIVI_DATA'!$E$4:$P$4,0)),"")</f>
        <v>0</v>
      </c>
      <c r="L12" s="31">
        <f t="shared" ref="L12:L18" si="0">IF(OR(K12="",J12=0),"",IF(H12="MAX",K12/J12,IF(K12&lt;=J12,1,J12/K12)))</f>
        <v>0</v>
      </c>
      <c r="M12" s="32" t="str">
        <f t="shared" ref="M12:M18" si="1">IF(K12="","À saisir",IF(L12="","",IF(L12&lt;0.5,"Alerte",IF(L12&lt;0.9,"En cours","Terminé"))))</f>
        <v>Alerte</v>
      </c>
      <c r="N12" s="26" t="s">
        <v>80</v>
      </c>
      <c r="O12" s="26" t="s">
        <v>81</v>
      </c>
    </row>
    <row r="13" spans="1:15" ht="45" customHeight="1" x14ac:dyDescent="0.3">
      <c r="A13" s="33" t="s">
        <v>82</v>
      </c>
      <c r="B13" s="33" t="s">
        <v>77</v>
      </c>
      <c r="C13" s="33" t="s">
        <v>83</v>
      </c>
      <c r="D13" s="33" t="s">
        <v>56</v>
      </c>
      <c r="E13" s="34" t="s">
        <v>84</v>
      </c>
      <c r="F13" s="34" t="s">
        <v>85</v>
      </c>
      <c r="G13" s="33" t="s">
        <v>72</v>
      </c>
      <c r="H13" s="28" t="s">
        <v>43</v>
      </c>
      <c r="I13" s="33" t="s">
        <v>86</v>
      </c>
      <c r="J13" s="35">
        <v>5</v>
      </c>
      <c r="K13" s="36">
        <f>IFERROR(INDEX('03_SUIVI_DATA'!$E$5:$P$200,MATCH($A13,'03_SUIVI_DATA'!$B$5:$B$200,0),MATCH('03_SUIVI_DATA'!$E$2,'03_SUIVI_DATA'!$E$4:$P$4,0)),"")</f>
        <v>0</v>
      </c>
      <c r="L13" s="31">
        <f t="shared" si="0"/>
        <v>0</v>
      </c>
      <c r="M13" s="32" t="str">
        <f t="shared" si="1"/>
        <v>Alerte</v>
      </c>
      <c r="N13" s="33" t="s">
        <v>80</v>
      </c>
      <c r="O13" s="33" t="s">
        <v>87</v>
      </c>
    </row>
    <row r="14" spans="1:15" ht="32.25" customHeight="1" x14ac:dyDescent="0.3">
      <c r="A14" s="26" t="s">
        <v>88</v>
      </c>
      <c r="B14" s="26" t="s">
        <v>77</v>
      </c>
      <c r="C14" s="26" t="s">
        <v>89</v>
      </c>
      <c r="D14" s="26" t="s">
        <v>56</v>
      </c>
      <c r="E14" s="27" t="s">
        <v>90</v>
      </c>
      <c r="F14" s="27" t="s">
        <v>91</v>
      </c>
      <c r="G14" s="26" t="s">
        <v>72</v>
      </c>
      <c r="H14" s="28" t="s">
        <v>43</v>
      </c>
      <c r="I14" s="26" t="s">
        <v>92</v>
      </c>
      <c r="J14" s="38">
        <v>1</v>
      </c>
      <c r="K14" s="36">
        <f>IFERROR(INDEX('03_SUIVI_DATA'!$E$5:$P$200,MATCH($A14,'03_SUIVI_DATA'!$B$5:$B$200,0),MATCH('03_SUIVI_DATA'!$E$2,'03_SUIVI_DATA'!$E$4:$P$4,0)),"")</f>
        <v>0</v>
      </c>
      <c r="L14" s="31">
        <f t="shared" si="0"/>
        <v>0</v>
      </c>
      <c r="M14" s="32" t="str">
        <f t="shared" si="1"/>
        <v>Alerte</v>
      </c>
      <c r="N14" s="26" t="s">
        <v>80</v>
      </c>
      <c r="O14" s="26" t="s">
        <v>93</v>
      </c>
    </row>
    <row r="15" spans="1:15" ht="32.25" customHeight="1" x14ac:dyDescent="0.3">
      <c r="A15" s="33" t="s">
        <v>94</v>
      </c>
      <c r="B15" s="33" t="s">
        <v>77</v>
      </c>
      <c r="C15" s="33" t="s">
        <v>69</v>
      </c>
      <c r="D15" s="33" t="s">
        <v>95</v>
      </c>
      <c r="E15" s="34" t="s">
        <v>96</v>
      </c>
      <c r="F15" s="34" t="s">
        <v>97</v>
      </c>
      <c r="G15" s="33" t="s">
        <v>42</v>
      </c>
      <c r="H15" s="28" t="s">
        <v>43</v>
      </c>
      <c r="I15" s="33" t="s">
        <v>98</v>
      </c>
      <c r="J15" s="35">
        <v>15</v>
      </c>
      <c r="K15" s="36">
        <f>IFERROR(INDEX('03_SUIVI_DATA'!$E$5:$P$200,MATCH($A15,'03_SUIVI_DATA'!$B$5:$B$200,0),MATCH('03_SUIVI_DATA'!$E$2,'03_SUIVI_DATA'!$E$4:$P$4,0)),"")</f>
        <v>0</v>
      </c>
      <c r="L15" s="31">
        <f t="shared" si="0"/>
        <v>0</v>
      </c>
      <c r="M15" s="37" t="str">
        <f t="shared" si="1"/>
        <v>Alerte</v>
      </c>
      <c r="N15" s="33" t="s">
        <v>80</v>
      </c>
      <c r="O15" s="33" t="s">
        <v>81</v>
      </c>
    </row>
    <row r="16" spans="1:15" ht="33.75" customHeight="1" x14ac:dyDescent="0.3">
      <c r="A16" s="26" t="s">
        <v>99</v>
      </c>
      <c r="B16" s="26" t="s">
        <v>77</v>
      </c>
      <c r="C16" s="26" t="s">
        <v>83</v>
      </c>
      <c r="D16" s="26" t="s">
        <v>95</v>
      </c>
      <c r="E16" s="27" t="s">
        <v>100</v>
      </c>
      <c r="F16" s="27" t="s">
        <v>101</v>
      </c>
      <c r="G16" s="26" t="s">
        <v>72</v>
      </c>
      <c r="H16" s="28" t="s">
        <v>43</v>
      </c>
      <c r="I16" s="26" t="s">
        <v>73</v>
      </c>
      <c r="J16" s="29">
        <v>0.8</v>
      </c>
      <c r="K16" s="36">
        <f>IFERROR(INDEX('03_SUIVI_DATA'!$E$5:$P$200,MATCH($A16,'03_SUIVI_DATA'!$B$5:$B$200,0),MATCH('03_SUIVI_DATA'!$E$2,'03_SUIVI_DATA'!$E$4:$P$4,0)),"")</f>
        <v>0</v>
      </c>
      <c r="L16" s="31">
        <f t="shared" si="0"/>
        <v>0</v>
      </c>
      <c r="M16" s="32" t="str">
        <f t="shared" si="1"/>
        <v>Alerte</v>
      </c>
      <c r="N16" s="26" t="s">
        <v>80</v>
      </c>
      <c r="O16" s="26" t="s">
        <v>102</v>
      </c>
    </row>
    <row r="17" spans="1:15" ht="36" customHeight="1" x14ac:dyDescent="0.3">
      <c r="A17" s="33" t="s">
        <v>103</v>
      </c>
      <c r="B17" s="33" t="s">
        <v>77</v>
      </c>
      <c r="C17" s="33" t="s">
        <v>69</v>
      </c>
      <c r="D17" s="33" t="s">
        <v>63</v>
      </c>
      <c r="E17" s="34" t="s">
        <v>104</v>
      </c>
      <c r="F17" s="34" t="s">
        <v>105</v>
      </c>
      <c r="G17" s="33" t="s">
        <v>42</v>
      </c>
      <c r="H17" s="28" t="s">
        <v>43</v>
      </c>
      <c r="I17" s="33" t="s">
        <v>66</v>
      </c>
      <c r="J17" s="35">
        <v>3</v>
      </c>
      <c r="K17" s="36">
        <f>IFERROR(INDEX('03_SUIVI_DATA'!$E$5:$P$200,MATCH($A17,'03_SUIVI_DATA'!$B$5:$B$200,0),MATCH('03_SUIVI_DATA'!$E$2,'03_SUIVI_DATA'!$E$4:$P$4,0)),"")</f>
        <v>0</v>
      </c>
      <c r="L17" s="31">
        <f t="shared" si="0"/>
        <v>0</v>
      </c>
      <c r="M17" s="37" t="str">
        <f t="shared" si="1"/>
        <v>Alerte</v>
      </c>
      <c r="N17" s="33" t="s">
        <v>80</v>
      </c>
      <c r="O17" s="33" t="s">
        <v>67</v>
      </c>
    </row>
    <row r="18" spans="1:15" ht="34.5" customHeight="1" x14ac:dyDescent="0.3">
      <c r="A18" s="26" t="s">
        <v>106</v>
      </c>
      <c r="B18" s="26" t="s">
        <v>107</v>
      </c>
      <c r="C18" s="26" t="s">
        <v>108</v>
      </c>
      <c r="D18" s="26" t="s">
        <v>39</v>
      </c>
      <c r="E18" s="27" t="s">
        <v>109</v>
      </c>
      <c r="F18" s="27" t="s">
        <v>110</v>
      </c>
      <c r="G18" s="26" t="s">
        <v>42</v>
      </c>
      <c r="H18" s="28" t="s">
        <v>43</v>
      </c>
      <c r="I18" s="26">
        <v>0</v>
      </c>
      <c r="J18" s="29">
        <v>0.2</v>
      </c>
      <c r="K18" s="30">
        <f>IFERROR(INDEX('03_SUIVI_DATA'!$E$5:$P$200,MATCH($A18,'03_SUIVI_DATA'!$B$5:$B$200,0),MATCH('03_SUIVI_DATA'!$E$2,'03_SUIVI_DATA'!$E$4:$P$4,0)),"")</f>
        <v>0</v>
      </c>
      <c r="L18" s="31">
        <f t="shared" si="0"/>
        <v>0</v>
      </c>
      <c r="M18" s="32" t="str">
        <f t="shared" si="1"/>
        <v>Alerte</v>
      </c>
      <c r="N18" s="26" t="s">
        <v>80</v>
      </c>
      <c r="O18" s="26" t="s">
        <v>45</v>
      </c>
    </row>
    <row r="19" spans="1:15" ht="19.5" customHeight="1" x14ac:dyDescent="0.3">
      <c r="A19" s="103" t="s">
        <v>111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ht="54.75" customHeight="1" x14ac:dyDescent="0.3">
      <c r="A20" s="26" t="s">
        <v>112</v>
      </c>
      <c r="B20" s="26" t="s">
        <v>113</v>
      </c>
      <c r="C20" s="26" t="s">
        <v>89</v>
      </c>
      <c r="D20" s="26" t="s">
        <v>56</v>
      </c>
      <c r="E20" s="27" t="s">
        <v>114</v>
      </c>
      <c r="F20" s="27" t="s">
        <v>115</v>
      </c>
      <c r="G20" s="26" t="s">
        <v>72</v>
      </c>
      <c r="H20" s="28" t="s">
        <v>43</v>
      </c>
      <c r="I20" s="26" t="s">
        <v>116</v>
      </c>
      <c r="J20" s="38">
        <v>2</v>
      </c>
      <c r="K20" s="30">
        <f>IFERROR(INDEX('03_SUIVI_DATA'!$E$5:$P$200,MATCH($A20,'03_SUIVI_DATA'!$B$5:$B$200,0),MATCH('03_SUIVI_DATA'!$E$2,'03_SUIVI_DATA'!$E$4:$P$4,0)),"")</f>
        <v>0</v>
      </c>
      <c r="L20" s="31">
        <f t="shared" ref="L20:L26" si="2">IF(OR(K20="",J20=0),"",IF(H20="MAX",K20/J20,IF(K20&lt;=J20,1,J20/K20)))</f>
        <v>0</v>
      </c>
      <c r="M20" s="32" t="str">
        <f t="shared" ref="M20:M26" si="3">IF(K20="","À saisir",IF(L20="","",IF(L20&lt;0.5,"Alerte",IF(L20&lt;0.9,"En cours","Terminé"))))</f>
        <v>Alerte</v>
      </c>
      <c r="N20" s="26" t="s">
        <v>60</v>
      </c>
      <c r="O20" s="26" t="s">
        <v>117</v>
      </c>
    </row>
    <row r="21" spans="1:15" ht="54.75" customHeight="1" x14ac:dyDescent="0.3">
      <c r="A21" s="33" t="s">
        <v>118</v>
      </c>
      <c r="B21" s="33" t="s">
        <v>119</v>
      </c>
      <c r="C21" s="33" t="s">
        <v>69</v>
      </c>
      <c r="D21" s="33" t="s">
        <v>63</v>
      </c>
      <c r="E21" s="34" t="s">
        <v>120</v>
      </c>
      <c r="F21" s="34" t="s">
        <v>121</v>
      </c>
      <c r="G21" s="33" t="s">
        <v>42</v>
      </c>
      <c r="H21" s="28" t="s">
        <v>43</v>
      </c>
      <c r="I21" s="33" t="s">
        <v>66</v>
      </c>
      <c r="J21" s="35">
        <v>50</v>
      </c>
      <c r="K21" s="39">
        <f>IFERROR(INDEX('03_SUIVI_DATA'!$E$5:$P$200,MATCH($A21,'03_SUIVI_DATA'!$B$5:$B$200,0),MATCH('03_SUIVI_DATA'!$E$2,'03_SUIVI_DATA'!$E$4:$P$4,0)),"")</f>
        <v>0</v>
      </c>
      <c r="L21" s="31">
        <f t="shared" si="2"/>
        <v>0</v>
      </c>
      <c r="M21" s="37" t="str">
        <f t="shared" si="3"/>
        <v>Alerte</v>
      </c>
      <c r="N21" s="33" t="s">
        <v>60</v>
      </c>
      <c r="O21" s="33" t="s">
        <v>81</v>
      </c>
    </row>
    <row r="22" spans="1:15" ht="54.75" customHeight="1" x14ac:dyDescent="0.3">
      <c r="A22" s="26" t="s">
        <v>122</v>
      </c>
      <c r="B22" s="26" t="s">
        <v>123</v>
      </c>
      <c r="C22" s="26" t="s">
        <v>89</v>
      </c>
      <c r="D22" s="26" t="s">
        <v>56</v>
      </c>
      <c r="E22" s="27" t="s">
        <v>124</v>
      </c>
      <c r="F22" s="27" t="s">
        <v>125</v>
      </c>
      <c r="G22" s="26" t="s">
        <v>72</v>
      </c>
      <c r="H22" s="28" t="s">
        <v>43</v>
      </c>
      <c r="I22" s="26" t="s">
        <v>66</v>
      </c>
      <c r="J22" s="38">
        <v>2</v>
      </c>
      <c r="K22" s="36">
        <f>IFERROR(INDEX('03_SUIVI_DATA'!$E$5:$P$200,MATCH($A22,'03_SUIVI_DATA'!$B$5:$B$200,0),MATCH('03_SUIVI_DATA'!$E$2,'03_SUIVI_DATA'!$E$4:$P$4,0)),"")</f>
        <v>0</v>
      </c>
      <c r="L22" s="31">
        <f t="shared" si="2"/>
        <v>0</v>
      </c>
      <c r="M22" s="32" t="str">
        <f t="shared" si="3"/>
        <v>Alerte</v>
      </c>
      <c r="N22" s="26" t="s">
        <v>60</v>
      </c>
      <c r="O22" s="26" t="s">
        <v>117</v>
      </c>
    </row>
    <row r="23" spans="1:15" ht="54.75" customHeight="1" x14ac:dyDescent="0.3">
      <c r="A23" s="33" t="s">
        <v>126</v>
      </c>
      <c r="B23" s="33" t="s">
        <v>123</v>
      </c>
      <c r="C23" s="33" t="s">
        <v>55</v>
      </c>
      <c r="D23" s="33" t="s">
        <v>56</v>
      </c>
      <c r="E23" s="34" t="s">
        <v>127</v>
      </c>
      <c r="F23" s="34" t="s">
        <v>128</v>
      </c>
      <c r="G23" s="33" t="s">
        <v>72</v>
      </c>
      <c r="H23" s="28" t="s">
        <v>43</v>
      </c>
      <c r="I23" s="33" t="s">
        <v>129</v>
      </c>
      <c r="J23" s="40">
        <v>0.8</v>
      </c>
      <c r="K23" s="36">
        <f>IFERROR(INDEX('03_SUIVI_DATA'!$E$5:$P$200,MATCH($A23,'03_SUIVI_DATA'!$B$5:$B$200,0),MATCH('03_SUIVI_DATA'!$E$2,'03_SUIVI_DATA'!$E$4:$P$4,0)),"")</f>
        <v>0</v>
      </c>
      <c r="L23" s="31">
        <f t="shared" si="2"/>
        <v>0</v>
      </c>
      <c r="M23" s="32" t="str">
        <f t="shared" si="3"/>
        <v>Alerte</v>
      </c>
      <c r="N23" s="33" t="s">
        <v>60</v>
      </c>
      <c r="O23" s="33" t="s">
        <v>53</v>
      </c>
    </row>
    <row r="24" spans="1:15" ht="54.75" customHeight="1" x14ac:dyDescent="0.3">
      <c r="A24" s="26" t="s">
        <v>130</v>
      </c>
      <c r="B24" s="26" t="s">
        <v>113</v>
      </c>
      <c r="C24" s="26" t="s">
        <v>131</v>
      </c>
      <c r="D24" s="26" t="s">
        <v>56</v>
      </c>
      <c r="E24" s="27" t="s">
        <v>132</v>
      </c>
      <c r="F24" s="27" t="s">
        <v>133</v>
      </c>
      <c r="G24" s="26" t="s">
        <v>72</v>
      </c>
      <c r="H24" s="28" t="s">
        <v>43</v>
      </c>
      <c r="I24" s="26" t="s">
        <v>86</v>
      </c>
      <c r="J24" s="38">
        <v>1</v>
      </c>
      <c r="K24" s="36">
        <f>IFERROR(INDEX('03_SUIVI_DATA'!$E$5:$P$200,MATCH($A24,'03_SUIVI_DATA'!$B$5:$B$200,0),MATCH('03_SUIVI_DATA'!$E$2,'03_SUIVI_DATA'!$E$4:$P$4,0)),"")</f>
        <v>0</v>
      </c>
      <c r="L24" s="31">
        <f t="shared" si="2"/>
        <v>0</v>
      </c>
      <c r="M24" s="32" t="str">
        <f t="shared" si="3"/>
        <v>Alerte</v>
      </c>
      <c r="N24" s="26" t="s">
        <v>60</v>
      </c>
      <c r="O24" s="26" t="s">
        <v>87</v>
      </c>
    </row>
    <row r="25" spans="1:15" ht="54.75" customHeight="1" x14ac:dyDescent="0.3">
      <c r="A25" s="33" t="s">
        <v>134</v>
      </c>
      <c r="B25" s="33" t="s">
        <v>113</v>
      </c>
      <c r="C25" s="33" t="s">
        <v>69</v>
      </c>
      <c r="D25" s="33" t="s">
        <v>95</v>
      </c>
      <c r="E25" s="34" t="s">
        <v>135</v>
      </c>
      <c r="F25" s="34" t="s">
        <v>136</v>
      </c>
      <c r="G25" s="33" t="s">
        <v>72</v>
      </c>
      <c r="H25" s="28" t="s">
        <v>43</v>
      </c>
      <c r="I25" s="33" t="s">
        <v>92</v>
      </c>
      <c r="J25" s="35">
        <v>1</v>
      </c>
      <c r="K25" s="36">
        <f>IFERROR(INDEX('03_SUIVI_DATA'!$E$5:$P$200,MATCH($A25,'03_SUIVI_DATA'!$B$5:$B$200,0),MATCH('03_SUIVI_DATA'!$E$2,'03_SUIVI_DATA'!$E$4:$P$4,0)),"")</f>
        <v>0</v>
      </c>
      <c r="L25" s="31">
        <f t="shared" si="2"/>
        <v>0</v>
      </c>
      <c r="M25" s="32" t="str">
        <f t="shared" si="3"/>
        <v>Alerte</v>
      </c>
      <c r="N25" s="33" t="s">
        <v>60</v>
      </c>
      <c r="O25" s="33" t="s">
        <v>137</v>
      </c>
    </row>
    <row r="26" spans="1:15" ht="54.75" customHeight="1" x14ac:dyDescent="0.3">
      <c r="A26" s="26" t="s">
        <v>138</v>
      </c>
      <c r="B26" s="26" t="s">
        <v>123</v>
      </c>
      <c r="C26" s="26" t="s">
        <v>139</v>
      </c>
      <c r="D26" s="26" t="s">
        <v>39</v>
      </c>
      <c r="E26" s="27" t="s">
        <v>140</v>
      </c>
      <c r="F26" s="27" t="s">
        <v>141</v>
      </c>
      <c r="G26" s="26" t="s">
        <v>42</v>
      </c>
      <c r="H26" s="28" t="s">
        <v>43</v>
      </c>
      <c r="I26" s="26">
        <v>0</v>
      </c>
      <c r="J26" s="29">
        <v>0.3</v>
      </c>
      <c r="K26" s="30">
        <f>IFERROR(INDEX('03_SUIVI_DATA'!$E$5:$P$200,MATCH($A26,'03_SUIVI_DATA'!$B$5:$B$200,0),MATCH('03_SUIVI_DATA'!$E$2,'03_SUIVI_DATA'!$E$4:$P$4,0)),"")</f>
        <v>0</v>
      </c>
      <c r="L26" s="31">
        <f t="shared" si="2"/>
        <v>0</v>
      </c>
      <c r="M26" s="32" t="str">
        <f t="shared" si="3"/>
        <v>Alerte</v>
      </c>
      <c r="N26" s="26" t="s">
        <v>60</v>
      </c>
      <c r="O26" s="26" t="s">
        <v>45</v>
      </c>
    </row>
    <row r="27" spans="1:15" ht="19.5" customHeight="1" x14ac:dyDescent="0.3">
      <c r="A27" s="103" t="s">
        <v>142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</row>
    <row r="28" spans="1:15" ht="54.75" customHeight="1" x14ac:dyDescent="0.3">
      <c r="A28" s="26" t="s">
        <v>143</v>
      </c>
      <c r="B28" s="26" t="s">
        <v>144</v>
      </c>
      <c r="C28" s="26" t="s">
        <v>108</v>
      </c>
      <c r="D28" s="26" t="s">
        <v>39</v>
      </c>
      <c r="E28" s="27" t="s">
        <v>145</v>
      </c>
      <c r="F28" s="27" t="s">
        <v>146</v>
      </c>
      <c r="G28" s="26" t="s">
        <v>42</v>
      </c>
      <c r="H28" s="28" t="s">
        <v>43</v>
      </c>
      <c r="I28" s="26">
        <v>0</v>
      </c>
      <c r="J28" s="38">
        <v>1</v>
      </c>
      <c r="K28" s="36">
        <f>IFERROR(INDEX('03_SUIVI_DATA'!$E$5:$P$200,MATCH($A28,'03_SUIVI_DATA'!$B$5:$B$200,0),MATCH('03_SUIVI_DATA'!$E$2,'03_SUIVI_DATA'!$E$4:$P$4,0)),"")</f>
        <v>0</v>
      </c>
      <c r="L28" s="31">
        <f>IF(OR(K28="",J28=0),"",IF(H28="MAX",K28/J28,IF(K28&lt;=J28,1,J28/K28)))</f>
        <v>0</v>
      </c>
      <c r="M28" s="41" t="str">
        <f>IF(K28="","À saisir",IF(L28="","",IF(L28&lt;0.5,"Alerte",IF(L28&lt;0.9,"En cours","Terminé"))))</f>
        <v>Alerte</v>
      </c>
      <c r="N28" s="26" t="s">
        <v>147</v>
      </c>
      <c r="O28" s="26" t="s">
        <v>45</v>
      </c>
    </row>
    <row r="29" spans="1:15" ht="54.75" customHeight="1" x14ac:dyDescent="0.3">
      <c r="A29" s="33" t="s">
        <v>148</v>
      </c>
      <c r="B29" s="33" t="s">
        <v>144</v>
      </c>
      <c r="C29" s="33" t="s">
        <v>89</v>
      </c>
      <c r="D29" s="33" t="s">
        <v>56</v>
      </c>
      <c r="E29" s="34" t="s">
        <v>149</v>
      </c>
      <c r="F29" s="34" t="s">
        <v>150</v>
      </c>
      <c r="G29" s="33" t="s">
        <v>50</v>
      </c>
      <c r="H29" s="28" t="s">
        <v>43</v>
      </c>
      <c r="I29" s="33" t="s">
        <v>66</v>
      </c>
      <c r="J29" s="35">
        <v>5</v>
      </c>
      <c r="K29" s="36">
        <f>IFERROR(INDEX('03_SUIVI_DATA'!$E$5:$P$200,MATCH($A29,'03_SUIVI_DATA'!$B$5:$B$200,0),MATCH('03_SUIVI_DATA'!$E$2,'03_SUIVI_DATA'!$E$4:$P$4,0)),"")</f>
        <v>0</v>
      </c>
      <c r="L29" s="31">
        <f>IF(OR(K29="",J29=0),"",IF(H29="MAX",K29/J29,IF(K29&lt;=J29,1,J29/K29)))</f>
        <v>0</v>
      </c>
      <c r="M29" s="37" t="str">
        <f>IF(K29="","À saisir",IF(L29="","",IF(L29&lt;0.5,"Alerte",IF(L29&lt;0.9,"En cours","Terminé"))))</f>
        <v>Alerte</v>
      </c>
      <c r="N29" s="33" t="s">
        <v>147</v>
      </c>
      <c r="O29" s="33" t="s">
        <v>151</v>
      </c>
    </row>
    <row r="30" spans="1:15" ht="54.75" customHeight="1" x14ac:dyDescent="0.3">
      <c r="A30" s="26" t="s">
        <v>152</v>
      </c>
      <c r="B30" s="26" t="s">
        <v>144</v>
      </c>
      <c r="C30" s="26" t="s">
        <v>153</v>
      </c>
      <c r="D30" s="26" t="s">
        <v>95</v>
      </c>
      <c r="E30" s="27" t="s">
        <v>154</v>
      </c>
      <c r="F30" s="27" t="s">
        <v>155</v>
      </c>
      <c r="G30" s="26" t="s">
        <v>42</v>
      </c>
      <c r="H30" s="28" t="s">
        <v>43</v>
      </c>
      <c r="I30" s="26">
        <v>0</v>
      </c>
      <c r="J30" s="29">
        <v>0.9</v>
      </c>
      <c r="K30" s="30">
        <f>IFERROR(INDEX('03_SUIVI_DATA'!$E$5:$P$200,MATCH($A30,'03_SUIVI_DATA'!$B$5:$B$200,0),MATCH('03_SUIVI_DATA'!$E$2,'03_SUIVI_DATA'!$E$4:$P$4,0)),"")</f>
        <v>0</v>
      </c>
      <c r="L30" s="31">
        <f>IF(OR(K30="",J30=0),"",IF(H30="MAX",K30/J30,IF(K30&lt;=J30,1,J30/K30)))</f>
        <v>0</v>
      </c>
      <c r="M30" s="41" t="str">
        <f>IF(K30="","À saisir",IF(L30="","",IF(L30&lt;0.5,"Alerte",IF(L30&lt;0.9,"En cours","Terminé"))))</f>
        <v>Alerte</v>
      </c>
      <c r="N30" s="26" t="s">
        <v>147</v>
      </c>
      <c r="O30" s="26" t="s">
        <v>156</v>
      </c>
    </row>
    <row r="31" spans="1:15" ht="19.5" customHeight="1" x14ac:dyDescent="0.3">
      <c r="A31" s="103" t="s">
        <v>157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</row>
    <row r="32" spans="1:15" ht="54.75" customHeight="1" x14ac:dyDescent="0.3">
      <c r="A32" s="26" t="s">
        <v>158</v>
      </c>
      <c r="B32" s="26" t="s">
        <v>159</v>
      </c>
      <c r="C32" s="26" t="s">
        <v>160</v>
      </c>
      <c r="D32" s="26" t="s">
        <v>161</v>
      </c>
      <c r="E32" s="27" t="s">
        <v>162</v>
      </c>
      <c r="F32" s="27" t="s">
        <v>163</v>
      </c>
      <c r="G32" s="26" t="s">
        <v>50</v>
      </c>
      <c r="H32" s="28" t="s">
        <v>43</v>
      </c>
      <c r="I32" s="26">
        <v>0</v>
      </c>
      <c r="J32" s="29">
        <v>0.8</v>
      </c>
      <c r="K32" s="30">
        <f>IFERROR(INDEX('03_SUIVI_DATA'!$E$5:$P$200,MATCH($A32,'03_SUIVI_DATA'!$B$5:$B$200,0),MATCH('03_SUIVI_DATA'!$E$2,'03_SUIVI_DATA'!$E$4:$P$4,0)),"")</f>
        <v>0</v>
      </c>
      <c r="L32" s="31">
        <f>IF(OR(K32="",J32=0),"",IF(H32="MAX",K32/J32,IF(K32&lt;=J32,1,J32/K32)))</f>
        <v>0</v>
      </c>
      <c r="M32" s="41" t="str">
        <f>IF(K32="","À saisir",IF(L32="","",IF(L32&lt;0.5,"Alerte",IF(L32&lt;0.9,"En cours","Terminé"))))</f>
        <v>Alerte</v>
      </c>
      <c r="N32" s="26" t="s">
        <v>164</v>
      </c>
      <c r="O32" s="26" t="s">
        <v>165</v>
      </c>
    </row>
    <row r="33" spans="1:15" ht="54.75" customHeight="1" x14ac:dyDescent="0.3">
      <c r="A33" s="33" t="s">
        <v>166</v>
      </c>
      <c r="B33" s="33" t="s">
        <v>159</v>
      </c>
      <c r="C33" s="33" t="s">
        <v>167</v>
      </c>
      <c r="D33" s="33" t="s">
        <v>161</v>
      </c>
      <c r="E33" s="34" t="s">
        <v>168</v>
      </c>
      <c r="F33" s="34" t="s">
        <v>169</v>
      </c>
      <c r="G33" s="33" t="s">
        <v>170</v>
      </c>
      <c r="H33" s="28" t="s">
        <v>43</v>
      </c>
      <c r="I33" s="33">
        <v>0</v>
      </c>
      <c r="J33" s="40">
        <v>1</v>
      </c>
      <c r="K33" s="36">
        <f>IFERROR(INDEX('03_SUIVI_DATA'!$E$5:$P$200,MATCH($A33,'03_SUIVI_DATA'!$B$5:$B$200,0),MATCH('03_SUIVI_DATA'!$E$2,'03_SUIVI_DATA'!$E$4:$P$4,0)),"")</f>
        <v>0</v>
      </c>
      <c r="L33" s="31">
        <f>IF(OR(K33="",J33=0),"",IF(H33="MAX",K33/J33,IF(K33&lt;=J33,1,J33/K33)))</f>
        <v>0</v>
      </c>
      <c r="M33" s="41" t="str">
        <f>IF(K33="","À saisir",IF(L33="","",IF(L33&lt;0.5,"Alerte",IF(L33&lt;0.9,"En cours","Terminé"))))</f>
        <v>Alerte</v>
      </c>
      <c r="N33" s="33" t="s">
        <v>164</v>
      </c>
      <c r="O33" s="33" t="s">
        <v>171</v>
      </c>
    </row>
    <row r="34" spans="1:15" ht="54.75" customHeight="1" x14ac:dyDescent="0.3">
      <c r="A34" s="26" t="s">
        <v>172</v>
      </c>
      <c r="B34" s="26" t="s">
        <v>159</v>
      </c>
      <c r="C34" s="26" t="s">
        <v>167</v>
      </c>
      <c r="D34" s="26" t="s">
        <v>161</v>
      </c>
      <c r="E34" s="27" t="s">
        <v>173</v>
      </c>
      <c r="F34" s="27" t="s">
        <v>174</v>
      </c>
      <c r="G34" s="26" t="s">
        <v>50</v>
      </c>
      <c r="H34" s="28" t="s">
        <v>43</v>
      </c>
      <c r="I34" s="26" t="s">
        <v>175</v>
      </c>
      <c r="J34" s="29">
        <v>1</v>
      </c>
      <c r="K34" s="36">
        <f>IFERROR(INDEX('03_SUIVI_DATA'!$E$5:$P$200,MATCH($A34,'03_SUIVI_DATA'!$B$5:$B$200,0),MATCH('03_SUIVI_DATA'!$E$2,'03_SUIVI_DATA'!$E$4:$P$4,0)),"")</f>
        <v>0</v>
      </c>
      <c r="L34" s="31">
        <f>IF(OR(K34="",J34=0),"",IF(H34="MAX",K34/J34,IF(K34&lt;=J34,1,J34/K34)))</f>
        <v>0</v>
      </c>
      <c r="M34" s="37" t="str">
        <f>IF(K34="","À saisir",IF(L34="","",IF(L34&lt;0.5,"Alerte",IF(L34&lt;0.9,"En cours","Terminé"))))</f>
        <v>Alerte</v>
      </c>
      <c r="N34" s="26" t="s">
        <v>164</v>
      </c>
      <c r="O34" s="26" t="s">
        <v>165</v>
      </c>
    </row>
    <row r="35" spans="1:15" ht="19.5" customHeight="1" x14ac:dyDescent="0.3">
      <c r="A35" s="103" t="s">
        <v>176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</row>
    <row r="36" spans="1:15" ht="54.75" customHeight="1" x14ac:dyDescent="0.3">
      <c r="A36" s="26" t="s">
        <v>177</v>
      </c>
      <c r="B36" s="26" t="s">
        <v>178</v>
      </c>
      <c r="C36" s="26" t="s">
        <v>69</v>
      </c>
      <c r="D36" s="26" t="s">
        <v>39</v>
      </c>
      <c r="E36" s="27" t="s">
        <v>179</v>
      </c>
      <c r="F36" s="27" t="s">
        <v>180</v>
      </c>
      <c r="G36" s="26" t="s">
        <v>72</v>
      </c>
      <c r="H36" s="28" t="s">
        <v>43</v>
      </c>
      <c r="I36" s="26" t="s">
        <v>181</v>
      </c>
      <c r="J36" s="29">
        <v>0.9</v>
      </c>
      <c r="K36" s="30">
        <f>IFERROR(INDEX('03_SUIVI_DATA'!$E$5:$P$200,MATCH($A36,'03_SUIVI_DATA'!$B$5:$B$200,0),MATCH('03_SUIVI_DATA'!$E$2,'03_SUIVI_DATA'!$E$4:$P$4,0)),"")</f>
        <v>0</v>
      </c>
      <c r="L36" s="31">
        <f>IF(OR(K36="",J36=0),"",IF(H36="MAX",K36/J36,IF(K36&lt;=J36,1,J36/K36)))</f>
        <v>0</v>
      </c>
      <c r="M36" s="32" t="str">
        <f>IF(K36="","À saisir",IF(L36="","",IF(L36&lt;0.5,"Alerte",IF(L36&lt;0.9,"En cours","Terminé"))))</f>
        <v>Alerte</v>
      </c>
      <c r="N36" s="26" t="s">
        <v>182</v>
      </c>
      <c r="O36" s="26" t="s">
        <v>183</v>
      </c>
    </row>
    <row r="37" spans="1:15" ht="54.75" customHeight="1" x14ac:dyDescent="0.3">
      <c r="A37" s="33" t="s">
        <v>184</v>
      </c>
      <c r="B37" s="33" t="s">
        <v>178</v>
      </c>
      <c r="C37" s="33" t="s">
        <v>185</v>
      </c>
      <c r="D37" s="33" t="s">
        <v>39</v>
      </c>
      <c r="E37" s="34" t="s">
        <v>186</v>
      </c>
      <c r="F37" s="34" t="s">
        <v>187</v>
      </c>
      <c r="G37" s="33" t="s">
        <v>72</v>
      </c>
      <c r="H37" s="28" t="s">
        <v>43</v>
      </c>
      <c r="I37" s="33" t="s">
        <v>188</v>
      </c>
      <c r="J37" s="40">
        <v>1</v>
      </c>
      <c r="K37" s="30">
        <f>IFERROR(INDEX('03_SUIVI_DATA'!$E$5:$P$200,MATCH($A37,'03_SUIVI_DATA'!$B$5:$B$200,0),MATCH('03_SUIVI_DATA'!$E$2,'03_SUIVI_DATA'!$E$4:$P$4,0)),"")</f>
        <v>0</v>
      </c>
      <c r="L37" s="31">
        <f>IF(OR(K37="",J37=0),"",IF(H37="MAX",K37/J37,IF(K37&lt;=J37,1,J37/K37)))</f>
        <v>0</v>
      </c>
      <c r="M37" s="32" t="str">
        <f>IF(K37="","À saisir",IF(L37="","",IF(L37&lt;0.5,"Alerte",IF(L37&lt;0.9,"En cours","Terminé"))))</f>
        <v>Alerte</v>
      </c>
      <c r="N37" s="33" t="s">
        <v>182</v>
      </c>
      <c r="O37" s="33" t="s">
        <v>183</v>
      </c>
    </row>
    <row r="38" spans="1:15" ht="54.75" customHeight="1" x14ac:dyDescent="0.3">
      <c r="A38" s="26" t="s">
        <v>189</v>
      </c>
      <c r="B38" s="26" t="s">
        <v>178</v>
      </c>
      <c r="C38" s="26" t="s">
        <v>131</v>
      </c>
      <c r="D38" s="26" t="s">
        <v>190</v>
      </c>
      <c r="E38" s="27" t="s">
        <v>191</v>
      </c>
      <c r="F38" s="27" t="s">
        <v>192</v>
      </c>
      <c r="G38" s="26" t="s">
        <v>72</v>
      </c>
      <c r="H38" s="28" t="s">
        <v>43</v>
      </c>
      <c r="I38" s="26" t="s">
        <v>92</v>
      </c>
      <c r="J38" s="38">
        <v>1</v>
      </c>
      <c r="K38" s="36">
        <f>IFERROR(INDEX('03_SUIVI_DATA'!$E$5:$P$200,MATCH($A38,'03_SUIVI_DATA'!$B$5:$B$200,0),MATCH('03_SUIVI_DATA'!$E$2,'03_SUIVI_DATA'!$E$4:$P$4,0)),"")</f>
        <v>0</v>
      </c>
      <c r="L38" s="31">
        <f>IF(OR(K38="",J38=0),"",IF(H38="MAX",K38/J38,IF(K38&lt;=J38,1,J38/K38)))</f>
        <v>0</v>
      </c>
      <c r="M38" s="32" t="str">
        <f>IF(K38="","À saisir",IF(L38="","",IF(L38&lt;0.5,"Alerte",IF(L38&lt;0.9,"En cours","Terminé"))))</f>
        <v>Alerte</v>
      </c>
      <c r="N38" s="26" t="s">
        <v>182</v>
      </c>
      <c r="O38" s="26" t="s">
        <v>53</v>
      </c>
    </row>
    <row r="39" spans="1:15" ht="54.75" customHeight="1" x14ac:dyDescent="0.3">
      <c r="A39" s="33" t="s">
        <v>193</v>
      </c>
      <c r="B39" s="33" t="s">
        <v>178</v>
      </c>
      <c r="C39" s="33" t="s">
        <v>185</v>
      </c>
      <c r="D39" s="33" t="s">
        <v>39</v>
      </c>
      <c r="E39" s="34" t="s">
        <v>194</v>
      </c>
      <c r="F39" s="34" t="s">
        <v>195</v>
      </c>
      <c r="G39" s="33" t="s">
        <v>42</v>
      </c>
      <c r="H39" s="28" t="s">
        <v>43</v>
      </c>
      <c r="I39" s="33">
        <v>0</v>
      </c>
      <c r="J39" s="40">
        <v>0.95</v>
      </c>
      <c r="K39" s="36">
        <f>IFERROR(INDEX('03_SUIVI_DATA'!$E$5:$P$200,MATCH($A39,'03_SUIVI_DATA'!$B$5:$B$200,0),MATCH('03_SUIVI_DATA'!$E$2,'03_SUIVI_DATA'!$E$4:$P$4,0)),"")</f>
        <v>0</v>
      </c>
      <c r="L39" s="31">
        <f>IF(OR(K39="",J39=0),"",IF(H39="MAX",K39/J39,IF(K39&lt;=J39,1,J39/K39)))</f>
        <v>0</v>
      </c>
      <c r="M39" s="32" t="str">
        <f>IF(K39="","À saisir",IF(L39="","",IF(L39&lt;0.5,"Alerte",IF(L39&lt;0.9,"En cours","Terminé"))))</f>
        <v>Alerte</v>
      </c>
      <c r="N39" s="33" t="s">
        <v>182</v>
      </c>
      <c r="O39" s="33" t="s">
        <v>183</v>
      </c>
    </row>
    <row r="40" spans="1:15" ht="54.75" customHeight="1" x14ac:dyDescent="0.3">
      <c r="A40" s="26" t="s">
        <v>196</v>
      </c>
      <c r="B40" s="26" t="s">
        <v>178</v>
      </c>
      <c r="C40" s="26" t="s">
        <v>89</v>
      </c>
      <c r="D40" s="26" t="s">
        <v>197</v>
      </c>
      <c r="E40" s="27" t="s">
        <v>198</v>
      </c>
      <c r="F40" s="27" t="s">
        <v>199</v>
      </c>
      <c r="G40" s="26" t="s">
        <v>42</v>
      </c>
      <c r="H40" s="28" t="s">
        <v>43</v>
      </c>
      <c r="I40" s="26" t="s">
        <v>66</v>
      </c>
      <c r="J40" s="38">
        <v>0</v>
      </c>
      <c r="K40" s="36">
        <f>IFERROR(INDEX('03_SUIVI_DATA'!$E$5:$P$200,MATCH($A40,'03_SUIVI_DATA'!$B$5:$B$200,0),MATCH('03_SUIVI_DATA'!$E$2,'03_SUIVI_DATA'!$E$4:$P$4,0)),"")</f>
        <v>0</v>
      </c>
      <c r="L40" s="31" t="str">
        <f>IF(OR(K40="",J40=0),"",IF(H40="MAX",K40/J40,IF(K40&lt;=J40,1,J40/K40)))</f>
        <v/>
      </c>
      <c r="M40" s="42" t="str">
        <f>IF(K40="","À saisir",IF(L40="","",IF(L40&lt;0.5,"Alerte",IF(L40&lt;0.9,"En cours","Terminé"))))</f>
        <v/>
      </c>
      <c r="N40" s="26" t="s">
        <v>182</v>
      </c>
      <c r="O40" s="26" t="s">
        <v>183</v>
      </c>
    </row>
    <row r="41" spans="1:15" ht="19.5" customHeight="1" x14ac:dyDescent="0.3">
      <c r="A41" s="103" t="s">
        <v>200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</row>
    <row r="42" spans="1:15" ht="54.75" customHeight="1" x14ac:dyDescent="0.3">
      <c r="A42" s="26" t="s">
        <v>201</v>
      </c>
      <c r="B42" s="26" t="s">
        <v>202</v>
      </c>
      <c r="C42" s="26" t="s">
        <v>203</v>
      </c>
      <c r="D42" s="26" t="s">
        <v>56</v>
      </c>
      <c r="E42" s="27" t="s">
        <v>204</v>
      </c>
      <c r="F42" s="27" t="s">
        <v>205</v>
      </c>
      <c r="G42" s="26" t="s">
        <v>72</v>
      </c>
      <c r="H42" s="28" t="s">
        <v>43</v>
      </c>
      <c r="I42" s="26" t="s">
        <v>206</v>
      </c>
      <c r="J42" s="29">
        <v>0.995</v>
      </c>
      <c r="K42" s="30">
        <f>IFERROR(INDEX('03_SUIVI_DATA'!$E$5:$P$200,MATCH($A42,'03_SUIVI_DATA'!$B$5:$B$200,0),MATCH('03_SUIVI_DATA'!$E$2,'03_SUIVI_DATA'!$E$4:$P$4,0)),"")</f>
        <v>0</v>
      </c>
      <c r="L42" s="31">
        <f>IF(OR(K42="",J42=0),"",IF(H42="MAX",K42/J42,IF(K42&lt;=J42,1,J42/K42)))</f>
        <v>0</v>
      </c>
      <c r="M42" s="32" t="str">
        <f>IF(K42="","À saisir",IF(L42="","",IF(L42&lt;0.5,"Alerte",IF(L42&lt;0.9,"En cours","Terminé"))))</f>
        <v>Alerte</v>
      </c>
      <c r="N42" s="26" t="s">
        <v>207</v>
      </c>
      <c r="O42" s="26" t="s">
        <v>87</v>
      </c>
    </row>
    <row r="43" spans="1:15" ht="54.75" customHeight="1" x14ac:dyDescent="0.3">
      <c r="A43" s="33" t="s">
        <v>208</v>
      </c>
      <c r="B43" s="33" t="s">
        <v>209</v>
      </c>
      <c r="C43" s="33" t="s">
        <v>89</v>
      </c>
      <c r="D43" s="33" t="s">
        <v>197</v>
      </c>
      <c r="E43" s="34" t="s">
        <v>210</v>
      </c>
      <c r="F43" s="34" t="s">
        <v>211</v>
      </c>
      <c r="G43" s="33" t="s">
        <v>42</v>
      </c>
      <c r="H43" s="28" t="s">
        <v>43</v>
      </c>
      <c r="I43" s="33" t="s">
        <v>212</v>
      </c>
      <c r="J43" s="40">
        <v>1</v>
      </c>
      <c r="K43" s="36">
        <f>IFERROR(INDEX('03_SUIVI_DATA'!$E$5:$P$200,MATCH($A43,'03_SUIVI_DATA'!$B$5:$B$200,0),MATCH('03_SUIVI_DATA'!$E$2,'03_SUIVI_DATA'!$E$4:$P$4,0)),"")</f>
        <v>0</v>
      </c>
      <c r="L43" s="31">
        <f>IF(OR(K43="",J43=0),"",IF(H43="MAX",K43/J43,IF(K43&lt;=J43,1,J43/K43)))</f>
        <v>0</v>
      </c>
      <c r="M43" s="32" t="str">
        <f>IF(K43="","À saisir",IF(L43="","",IF(L43&lt;0.5,"Alerte",IF(L43&lt;0.9,"En cours","Terminé"))))</f>
        <v>Alerte</v>
      </c>
      <c r="N43" s="33" t="s">
        <v>207</v>
      </c>
      <c r="O43" s="33" t="s">
        <v>87</v>
      </c>
    </row>
    <row r="44" spans="1:15" ht="54.75" customHeight="1" x14ac:dyDescent="0.3">
      <c r="A44" s="26" t="s">
        <v>213</v>
      </c>
      <c r="B44" s="26" t="s">
        <v>209</v>
      </c>
      <c r="C44" s="26" t="s">
        <v>89</v>
      </c>
      <c r="D44" s="26" t="s">
        <v>56</v>
      </c>
      <c r="E44" s="27" t="s">
        <v>214</v>
      </c>
      <c r="F44" s="27" t="s">
        <v>215</v>
      </c>
      <c r="G44" s="26" t="s">
        <v>50</v>
      </c>
      <c r="H44" s="28" t="s">
        <v>43</v>
      </c>
      <c r="I44" s="26" t="s">
        <v>86</v>
      </c>
      <c r="J44" s="38">
        <v>1</v>
      </c>
      <c r="K44" s="36">
        <f>IFERROR(INDEX('03_SUIVI_DATA'!$E$5:$P$200,MATCH($A44,'03_SUIVI_DATA'!$B$5:$B$200,0),MATCH('03_SUIVI_DATA'!$E$2,'03_SUIVI_DATA'!$E$4:$P$4,0)),"")</f>
        <v>0</v>
      </c>
      <c r="L44" s="31">
        <f>IF(OR(K44="",J44=0),"",IF(H44="MAX",K44/J44,IF(K44&lt;=J44,1,J44/K44)))</f>
        <v>0</v>
      </c>
      <c r="M44" s="37" t="str">
        <f>IF(K44="","À saisir",IF(L44="","",IF(L44&lt;0.5,"Alerte",IF(L44&lt;0.9,"En cours","Terminé"))))</f>
        <v>Alerte</v>
      </c>
      <c r="N44" s="26" t="s">
        <v>207</v>
      </c>
      <c r="O44" s="26" t="s">
        <v>87</v>
      </c>
    </row>
    <row r="45" spans="1:15" ht="19.5" customHeight="1" x14ac:dyDescent="0.3">
      <c r="A45" s="103" t="s">
        <v>216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</row>
    <row r="46" spans="1:15" ht="54.75" customHeight="1" x14ac:dyDescent="0.3">
      <c r="A46" s="26" t="s">
        <v>217</v>
      </c>
      <c r="B46" s="26" t="s">
        <v>218</v>
      </c>
      <c r="C46" s="26" t="s">
        <v>69</v>
      </c>
      <c r="D46" s="26" t="s">
        <v>63</v>
      </c>
      <c r="E46" s="27" t="s">
        <v>219</v>
      </c>
      <c r="F46" s="27" t="s">
        <v>220</v>
      </c>
      <c r="G46" s="26" t="s">
        <v>221</v>
      </c>
      <c r="H46" s="28" t="s">
        <v>43</v>
      </c>
      <c r="I46" s="26" t="s">
        <v>222</v>
      </c>
      <c r="J46" s="38">
        <v>3</v>
      </c>
      <c r="K46" s="30">
        <f>IFERROR(INDEX('03_SUIVI_DATA'!$E$5:$P$200,MATCH($A46,'03_SUIVI_DATA'!$B$5:$B$200,0),MATCH('03_SUIVI_DATA'!$E$2,'03_SUIVI_DATA'!$E$4:$P$4,0)),"")</f>
        <v>0</v>
      </c>
      <c r="L46" s="31">
        <f>IF(OR(K46="",J46=0),"",IF(H46="MAX",K46/J46,IF(K46&lt;=J46,1,J46/K46)))</f>
        <v>0</v>
      </c>
      <c r="M46" s="32" t="str">
        <f>IF(K46="","À saisir",IF(L46="","",IF(L46&lt;0.5,"Alerte",IF(L46&lt;0.9,"En cours","Terminé"))))</f>
        <v>Alerte</v>
      </c>
      <c r="N46" s="26" t="s">
        <v>67</v>
      </c>
      <c r="O46" s="26" t="s">
        <v>137</v>
      </c>
    </row>
    <row r="47" spans="1:15" ht="54.75" customHeight="1" x14ac:dyDescent="0.3">
      <c r="A47" s="33" t="s">
        <v>223</v>
      </c>
      <c r="B47" s="33" t="s">
        <v>218</v>
      </c>
      <c r="C47" s="33" t="s">
        <v>69</v>
      </c>
      <c r="D47" s="33" t="s">
        <v>56</v>
      </c>
      <c r="E47" s="34" t="s">
        <v>224</v>
      </c>
      <c r="F47" s="34" t="s">
        <v>225</v>
      </c>
      <c r="G47" s="33" t="s">
        <v>42</v>
      </c>
      <c r="H47" s="28" t="s">
        <v>43</v>
      </c>
      <c r="I47" s="33" t="s">
        <v>66</v>
      </c>
      <c r="J47" s="35">
        <v>100</v>
      </c>
      <c r="K47" s="36">
        <f>IFERROR(INDEX('03_SUIVI_DATA'!$E$5:$P$200,MATCH($A47,'03_SUIVI_DATA'!$B$5:$B$200,0),MATCH('03_SUIVI_DATA'!$E$2,'03_SUIVI_DATA'!$E$4:$P$4,0)),"")</f>
        <v>0</v>
      </c>
      <c r="L47" s="31">
        <f>IF(OR(K47="",J47=0),"",IF(H47="MAX",K47/J47,IF(K47&lt;=J47,1,J47/K47)))</f>
        <v>0</v>
      </c>
      <c r="M47" s="37" t="str">
        <f>IF(K47="","À saisir",IF(L47="","",IF(L47&lt;0.5,"Alerte",IF(L47&lt;0.9,"En cours","Terminé"))))</f>
        <v>Alerte</v>
      </c>
      <c r="N47" s="33" t="s">
        <v>67</v>
      </c>
      <c r="O47" s="33" t="s">
        <v>137</v>
      </c>
    </row>
    <row r="48" spans="1:15" ht="54.75" customHeight="1" x14ac:dyDescent="0.3">
      <c r="A48" s="26" t="s">
        <v>226</v>
      </c>
      <c r="B48" s="26" t="s">
        <v>218</v>
      </c>
      <c r="C48" s="26" t="s">
        <v>89</v>
      </c>
      <c r="D48" s="26" t="s">
        <v>56</v>
      </c>
      <c r="E48" s="27" t="s">
        <v>227</v>
      </c>
      <c r="F48" s="27" t="s">
        <v>228</v>
      </c>
      <c r="G48" s="26" t="s">
        <v>72</v>
      </c>
      <c r="H48" s="28" t="s">
        <v>43</v>
      </c>
      <c r="I48" s="26" t="s">
        <v>66</v>
      </c>
      <c r="J48" s="38">
        <v>3</v>
      </c>
      <c r="K48" s="36">
        <f>IFERROR(INDEX('03_SUIVI_DATA'!$E$5:$P$200,MATCH($A48,'03_SUIVI_DATA'!$B$5:$B$200,0),MATCH('03_SUIVI_DATA'!$E$2,'03_SUIVI_DATA'!$E$4:$P$4,0)),"")</f>
        <v>0</v>
      </c>
      <c r="L48" s="31">
        <f>IF(OR(K48="",J48=0),"",IF(H48="MAX",K48/J48,IF(K48&lt;=J48,1,J48/K48)))</f>
        <v>0</v>
      </c>
      <c r="M48" s="37" t="str">
        <f>IF(K48="","À saisir",IF(L48="","",IF(L48&lt;0.5,"Alerte",IF(L48&lt;0.9,"En cours","Terminé"))))</f>
        <v>Alerte</v>
      </c>
      <c r="N48" s="26" t="s">
        <v>67</v>
      </c>
      <c r="O48" s="26" t="s">
        <v>137</v>
      </c>
    </row>
    <row r="49" spans="1:15" ht="19.5" customHeight="1" x14ac:dyDescent="0.3">
      <c r="A49" s="103" t="s">
        <v>229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</row>
    <row r="50" spans="1:15" ht="54.75" customHeight="1" x14ac:dyDescent="0.3">
      <c r="A50" s="26" t="s">
        <v>230</v>
      </c>
      <c r="B50" s="26" t="s">
        <v>231</v>
      </c>
      <c r="C50" s="26" t="s">
        <v>232</v>
      </c>
      <c r="D50" s="26" t="s">
        <v>197</v>
      </c>
      <c r="E50" s="27" t="s">
        <v>233</v>
      </c>
      <c r="F50" s="27" t="s">
        <v>234</v>
      </c>
      <c r="G50" s="26" t="s">
        <v>72</v>
      </c>
      <c r="H50" s="28" t="s">
        <v>43</v>
      </c>
      <c r="I50" s="26" t="s">
        <v>92</v>
      </c>
      <c r="J50" s="38">
        <v>1</v>
      </c>
      <c r="K50" s="36">
        <f>IFERROR(INDEX('03_SUIVI_DATA'!$E$5:$P$200,MATCH($A50,'03_SUIVI_DATA'!$B$5:$B$200,0),MATCH('03_SUIVI_DATA'!$E$2,'03_SUIVI_DATA'!$E$4:$P$4,0)),"")</f>
        <v>0</v>
      </c>
      <c r="L50" s="31">
        <f>IF(OR(K50="",J50=0),"",IF(H50="MAX",K50/J50,IF(K50&lt;=J50,1,J50/K50)))</f>
        <v>0</v>
      </c>
      <c r="M50" s="32" t="str">
        <f>IF(K50="","À saisir",IF(L50="","",IF(L50&lt;0.5,"Alerte",IF(L50&lt;0.9,"En cours","Terminé"))))</f>
        <v>Alerte</v>
      </c>
      <c r="N50" s="26" t="s">
        <v>44</v>
      </c>
      <c r="O50" s="26" t="s">
        <v>53</v>
      </c>
    </row>
    <row r="51" spans="1:15" ht="54.75" customHeight="1" x14ac:dyDescent="0.3">
      <c r="A51" s="33" t="s">
        <v>235</v>
      </c>
      <c r="B51" s="33" t="s">
        <v>236</v>
      </c>
      <c r="C51" s="33" t="s">
        <v>131</v>
      </c>
      <c r="D51" s="33" t="s">
        <v>190</v>
      </c>
      <c r="E51" s="34" t="s">
        <v>237</v>
      </c>
      <c r="F51" s="34" t="s">
        <v>238</v>
      </c>
      <c r="G51" s="33" t="s">
        <v>72</v>
      </c>
      <c r="H51" s="28" t="s">
        <v>43</v>
      </c>
      <c r="I51" s="33" t="s">
        <v>239</v>
      </c>
      <c r="J51" s="40">
        <v>0.9</v>
      </c>
      <c r="K51" s="30">
        <f>IFERROR(INDEX('03_SUIVI_DATA'!$E$5:$P$200,MATCH($A51,'03_SUIVI_DATA'!$B$5:$B$200,0),MATCH('03_SUIVI_DATA'!$E$2,'03_SUIVI_DATA'!$E$4:$P$4,0)),"")</f>
        <v>0</v>
      </c>
      <c r="L51" s="31">
        <f>IF(OR(K51="",J51=0),"",IF(H51="MAX",K51/J51,IF(K51&lt;=J51,1,J51/K51)))</f>
        <v>0</v>
      </c>
      <c r="M51" s="32" t="str">
        <f>IF(K51="","À saisir",IF(L51="","",IF(L51&lt;0.5,"Alerte",IF(L51&lt;0.9,"En cours","Terminé"))))</f>
        <v>Alerte</v>
      </c>
      <c r="N51" s="33" t="s">
        <v>53</v>
      </c>
      <c r="O51" s="33" t="s">
        <v>74</v>
      </c>
    </row>
    <row r="52" spans="1:15" ht="54.75" customHeight="1" x14ac:dyDescent="0.3">
      <c r="A52" s="26" t="s">
        <v>240</v>
      </c>
      <c r="B52" s="26" t="s">
        <v>231</v>
      </c>
      <c r="C52" s="26" t="s">
        <v>241</v>
      </c>
      <c r="D52" s="26" t="s">
        <v>190</v>
      </c>
      <c r="E52" s="27" t="s">
        <v>242</v>
      </c>
      <c r="F52" s="27" t="s">
        <v>243</v>
      </c>
      <c r="G52" s="26" t="s">
        <v>42</v>
      </c>
      <c r="H52" s="28" t="s">
        <v>43</v>
      </c>
      <c r="I52" s="26" t="s">
        <v>244</v>
      </c>
      <c r="J52" s="29">
        <v>0.9</v>
      </c>
      <c r="K52" s="36">
        <f>IFERROR(INDEX('03_SUIVI_DATA'!$E$5:$P$200,MATCH($A52,'03_SUIVI_DATA'!$B$5:$B$200,0),MATCH('03_SUIVI_DATA'!$E$2,'03_SUIVI_DATA'!$E$4:$P$4,0)),"")</f>
        <v>0</v>
      </c>
      <c r="L52" s="31">
        <f>IF(OR(K52="",J52=0),"",IF(H52="MAX",K52/J52,IF(K52&lt;=J52,1,J52/K52)))</f>
        <v>0</v>
      </c>
      <c r="M52" s="32" t="str">
        <f>IF(K52="","À saisir",IF(L52="","",IF(L52&lt;0.5,"Alerte",IF(L52&lt;0.9,"En cours","Terminé"))))</f>
        <v>Alerte</v>
      </c>
      <c r="N52" s="26" t="s">
        <v>53</v>
      </c>
      <c r="O52" s="26" t="s">
        <v>156</v>
      </c>
    </row>
    <row r="53" spans="1:15" ht="54.75" customHeight="1" x14ac:dyDescent="0.3">
      <c r="A53" s="33" t="s">
        <v>245</v>
      </c>
      <c r="B53" s="33" t="s">
        <v>231</v>
      </c>
      <c r="C53" s="33" t="s">
        <v>246</v>
      </c>
      <c r="D53" s="33" t="s">
        <v>190</v>
      </c>
      <c r="E53" s="34" t="s">
        <v>247</v>
      </c>
      <c r="F53" s="34" t="s">
        <v>248</v>
      </c>
      <c r="G53" s="33" t="s">
        <v>42</v>
      </c>
      <c r="H53" s="28" t="s">
        <v>43</v>
      </c>
      <c r="I53" s="33" t="s">
        <v>249</v>
      </c>
      <c r="J53" s="40">
        <v>1</v>
      </c>
      <c r="K53" s="36">
        <f>IFERROR(INDEX('03_SUIVI_DATA'!$E$5:$P$200,MATCH($A53,'03_SUIVI_DATA'!$B$5:$B$200,0),MATCH('03_SUIVI_DATA'!$E$2,'03_SUIVI_DATA'!$E$4:$P$4,0)),"")</f>
        <v>0</v>
      </c>
      <c r="L53" s="31">
        <f>IF(OR(K53="",J53=0),"",IF(H53="MAX",K53/J53,IF(K53&lt;=J53,1,J53/K53)))</f>
        <v>0</v>
      </c>
      <c r="M53" s="32" t="str">
        <f>IF(K53="","À saisir",IF(L53="","",IF(L53&lt;0.5,"Alerte",IF(L53&lt;0.9,"En cours","Terminé"))))</f>
        <v>Alerte</v>
      </c>
      <c r="N53" s="33" t="s">
        <v>53</v>
      </c>
      <c r="O53" s="33" t="s">
        <v>156</v>
      </c>
    </row>
    <row r="54" spans="1:15" ht="14.25" customHeight="1" x14ac:dyDescent="0.3">
      <c r="K54" s="43"/>
    </row>
  </sheetData>
  <mergeCells count="11">
    <mergeCell ref="A31:O31"/>
    <mergeCell ref="A35:O35"/>
    <mergeCell ref="A41:O41"/>
    <mergeCell ref="A45:O45"/>
    <mergeCell ref="A49:O49"/>
    <mergeCell ref="A27:O27"/>
    <mergeCell ref="A1:O1"/>
    <mergeCell ref="A2:O2"/>
    <mergeCell ref="A5:O5"/>
    <mergeCell ref="A11:O11"/>
    <mergeCell ref="A19:O19"/>
  </mergeCells>
  <conditionalFormatting sqref="M6:M10 M12:M18 M20:M26 M28:M30 M32:M34 M36:M40 M42:M44 M46:M48 M50:M54">
    <cfRule type="containsText" dxfId="11" priority="2" operator="containsText" text="Alerte">
      <formula>NOT(ISERROR(SEARCH("Alerte",M6)))</formula>
    </cfRule>
    <cfRule type="containsText" dxfId="10" priority="3" operator="containsText" text="En cours">
      <formula>NOT(ISERROR(SEARCH("En cours",M6)))</formula>
    </cfRule>
    <cfRule type="containsText" dxfId="9" priority="4" operator="containsText" text="Terminé">
      <formula>NOT(ISERROR(SEARCH("Terminé",M6)))</formula>
    </cfRule>
  </conditionalFormatting>
  <conditionalFormatting sqref="L6:L10 L12:L18 L20:L26 L28:L30 L32:L34 L36:L40 L42:L44 L46:L48 L50:L54">
    <cfRule type="dataBar" priority="5">
      <dataBar>
        <cfvo type="num" val="0"/>
        <cfvo type="num" val="1"/>
        <color rgb="FF4472C4"/>
      </dataBar>
    </cfRule>
  </conditionalFormatting>
  <dataValidations count="2">
    <dataValidation type="list" allowBlank="1" sqref="M6:M10 M12:M18 M20:M26 M28:M30 M32:M34 M36:M40 M42:M44 M46:M48 M50:M53" xr:uid="{00000000-0002-0000-0100-000000000000}">
      <formula1>"En cours,Planifié,Maintenu,Alerte,Terminé"</formula1>
      <formula2>0</formula2>
    </dataValidation>
    <dataValidation type="list" allowBlank="1" sqref="H6:H10 H12:H18 H20:H26 H28:H30 H32:H34 H36:H40 H42:H44 H46:H48 H50:H53" xr:uid="{00000000-0002-0000-0100-000001000000}">
      <formula1>"MAX,MIN"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tabSelected="1" zoomScale="46" zoomScaleNormal="100" workbookViewId="0">
      <pane ySplit="4" topLeftCell="A19" activePane="bottomLeft" state="frozen"/>
      <selection pane="bottomLeft" activeCell="H17" sqref="H17"/>
    </sheetView>
  </sheetViews>
  <sheetFormatPr baseColWidth="10" defaultColWidth="8.6640625" defaultRowHeight="14.4" x14ac:dyDescent="0.3"/>
  <cols>
    <col min="1" max="1" width="8" style="24" customWidth="1"/>
    <col min="2" max="2" width="22" style="24" customWidth="1"/>
    <col min="3" max="3" width="12.21875" style="24" customWidth="1"/>
    <col min="4" max="4" width="55" style="24" customWidth="1"/>
    <col min="5" max="5" width="28" style="24" customWidth="1"/>
    <col min="6" max="6" width="12" style="24" customWidth="1"/>
    <col min="7" max="7" width="14" style="24" customWidth="1"/>
    <col min="8" max="8" width="12" style="24" customWidth="1"/>
    <col min="9" max="10" width="40" style="24" customWidth="1"/>
    <col min="11" max="11" width="38" style="24" customWidth="1"/>
    <col min="12" max="12" width="14" style="24" customWidth="1"/>
  </cols>
  <sheetData>
    <row r="1" spans="1:12" ht="27.75" customHeight="1" x14ac:dyDescent="0.3">
      <c r="A1" s="105" t="s">
        <v>250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15.75" customHeight="1" x14ac:dyDescent="0.3">
      <c r="A2" s="106" t="s">
        <v>251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2" ht="6" customHeight="1" x14ac:dyDescent="0.3"/>
    <row r="4" spans="1:12" ht="39.75" customHeight="1" x14ac:dyDescent="0.3">
      <c r="A4" s="25" t="s">
        <v>252</v>
      </c>
      <c r="B4" s="25" t="s">
        <v>17</v>
      </c>
      <c r="C4" s="25" t="s">
        <v>253</v>
      </c>
      <c r="D4" s="25" t="s">
        <v>254</v>
      </c>
      <c r="E4" s="25" t="s">
        <v>255</v>
      </c>
      <c r="F4" s="25" t="s">
        <v>15</v>
      </c>
      <c r="G4" s="25" t="s">
        <v>256</v>
      </c>
      <c r="H4" s="25" t="s">
        <v>257</v>
      </c>
      <c r="I4" s="25" t="s">
        <v>258</v>
      </c>
      <c r="J4" s="25" t="s">
        <v>259</v>
      </c>
      <c r="K4" s="25" t="s">
        <v>260</v>
      </c>
      <c r="L4" s="25" t="s">
        <v>261</v>
      </c>
    </row>
    <row r="5" spans="1:12" ht="19.5" customHeight="1" x14ac:dyDescent="0.3">
      <c r="A5" s="103" t="s">
        <v>35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7"/>
    </row>
    <row r="6" spans="1:12" ht="64.5" customHeight="1" x14ac:dyDescent="0.3">
      <c r="A6" s="26" t="s">
        <v>36</v>
      </c>
      <c r="B6" s="26" t="s">
        <v>262</v>
      </c>
      <c r="C6" s="44" t="s">
        <v>263</v>
      </c>
      <c r="D6" s="27" t="s">
        <v>264</v>
      </c>
      <c r="E6" s="26" t="s">
        <v>265</v>
      </c>
      <c r="F6" s="45" t="s">
        <v>266</v>
      </c>
      <c r="G6" s="46">
        <v>46387</v>
      </c>
      <c r="H6" s="47" t="str">
        <f ca="1">IF(AND(G6&lt;TODAY(),F6&lt;&gt;"Terminé"),"⚠️ RETARD","")</f>
        <v/>
      </c>
      <c r="I6" s="27" t="s">
        <v>267</v>
      </c>
      <c r="J6" s="27" t="s">
        <v>268</v>
      </c>
      <c r="K6" s="27" t="s">
        <v>269</v>
      </c>
      <c r="L6" s="48" t="str">
        <f>IF(F6="Terminé","À évaluer (J+90)","En attente")</f>
        <v>En attente</v>
      </c>
    </row>
    <row r="7" spans="1:12" ht="64.5" customHeight="1" x14ac:dyDescent="0.3">
      <c r="A7" s="49" t="s">
        <v>46</v>
      </c>
      <c r="B7" s="49" t="s">
        <v>262</v>
      </c>
      <c r="C7" s="44" t="s">
        <v>263</v>
      </c>
      <c r="D7" s="50" t="s">
        <v>270</v>
      </c>
      <c r="E7" s="49" t="s">
        <v>271</v>
      </c>
      <c r="F7" s="45" t="s">
        <v>266</v>
      </c>
      <c r="G7" s="51">
        <v>46053</v>
      </c>
      <c r="H7" s="47" t="str">
        <f ca="1">IF(AND(G7&lt;TODAY(),F7&lt;&gt;"Terminé"),"⚠️ RETARD","")</f>
        <v>⚠️ RETARD</v>
      </c>
      <c r="I7" s="50" t="s">
        <v>272</v>
      </c>
      <c r="J7" s="50" t="s">
        <v>273</v>
      </c>
      <c r="K7" s="50" t="s">
        <v>274</v>
      </c>
      <c r="L7" s="48" t="str">
        <f>IF(F7="Terminé","À évaluer (J+90)","En attente")</f>
        <v>En attente</v>
      </c>
    </row>
    <row r="8" spans="1:12" ht="64.5" customHeight="1" x14ac:dyDescent="0.3">
      <c r="A8" s="26" t="s">
        <v>54</v>
      </c>
      <c r="B8" s="26" t="s">
        <v>262</v>
      </c>
      <c r="C8" s="44" t="s">
        <v>263</v>
      </c>
      <c r="D8" s="27" t="s">
        <v>275</v>
      </c>
      <c r="E8" s="26" t="s">
        <v>276</v>
      </c>
      <c r="F8" s="52" t="s">
        <v>277</v>
      </c>
      <c r="G8" s="46">
        <v>46387</v>
      </c>
      <c r="H8" s="47" t="str">
        <f ca="1">IF(AND(G8&lt;TODAY(),F8&lt;&gt;"Terminé"),"⚠️ RETARD","")</f>
        <v/>
      </c>
      <c r="I8" s="27" t="s">
        <v>278</v>
      </c>
      <c r="J8" s="27" t="s">
        <v>279</v>
      </c>
      <c r="K8" s="27" t="s">
        <v>280</v>
      </c>
      <c r="L8" s="48" t="str">
        <f>IF(F8="Terminé","À évaluer (J+90)","En attente")</f>
        <v>En attente</v>
      </c>
    </row>
    <row r="9" spans="1:12" ht="64.5" customHeight="1" x14ac:dyDescent="0.3">
      <c r="A9" s="49" t="s">
        <v>61</v>
      </c>
      <c r="B9" s="49" t="s">
        <v>262</v>
      </c>
      <c r="C9" s="44" t="s">
        <v>263</v>
      </c>
      <c r="D9" s="50" t="s">
        <v>281</v>
      </c>
      <c r="E9" s="49" t="s">
        <v>282</v>
      </c>
      <c r="F9" s="52" t="s">
        <v>277</v>
      </c>
      <c r="G9" s="51">
        <v>46387</v>
      </c>
      <c r="H9" s="47" t="str">
        <f ca="1">IF(AND(G9&lt;TODAY(),F9&lt;&gt;"Terminé"),"⚠️ RETARD","")</f>
        <v/>
      </c>
      <c r="I9" s="50" t="s">
        <v>283</v>
      </c>
      <c r="J9" s="50" t="s">
        <v>284</v>
      </c>
      <c r="K9" s="50" t="s">
        <v>285</v>
      </c>
      <c r="L9" s="48" t="str">
        <f>IF(F9="Terminé","À évaluer (J+90)","En attente")</f>
        <v>En attente</v>
      </c>
    </row>
    <row r="10" spans="1:12" ht="64.5" customHeight="1" x14ac:dyDescent="0.3">
      <c r="A10" s="26" t="s">
        <v>68</v>
      </c>
      <c r="B10" s="26" t="s">
        <v>262</v>
      </c>
      <c r="C10" s="44" t="s">
        <v>263</v>
      </c>
      <c r="D10" s="27" t="s">
        <v>286</v>
      </c>
      <c r="E10" s="26" t="s">
        <v>287</v>
      </c>
      <c r="F10" s="45" t="s">
        <v>266</v>
      </c>
      <c r="G10" s="46">
        <v>46387</v>
      </c>
      <c r="H10" s="47" t="str">
        <f ca="1">IF(AND(G10&lt;TODAY(),F10&lt;&gt;"Terminé"),"⚠️ RETARD","")</f>
        <v/>
      </c>
      <c r="I10" s="27" t="s">
        <v>288</v>
      </c>
      <c r="J10" s="27" t="s">
        <v>289</v>
      </c>
      <c r="K10" s="27" t="s">
        <v>290</v>
      </c>
      <c r="L10" s="48" t="str">
        <f>IF(F10="Terminé","À évaluer (J+90)","En attente")</f>
        <v>En attente</v>
      </c>
    </row>
    <row r="11" spans="1:12" ht="19.5" customHeight="1" x14ac:dyDescent="0.3">
      <c r="A11" s="103" t="s">
        <v>75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7"/>
    </row>
    <row r="12" spans="1:12" ht="64.5" customHeight="1" x14ac:dyDescent="0.3">
      <c r="A12" s="26" t="s">
        <v>76</v>
      </c>
      <c r="B12" s="26" t="s">
        <v>291</v>
      </c>
      <c r="C12" s="44" t="s">
        <v>263</v>
      </c>
      <c r="D12" s="27" t="s">
        <v>292</v>
      </c>
      <c r="E12" s="26" t="s">
        <v>293</v>
      </c>
      <c r="F12" s="45" t="s">
        <v>266</v>
      </c>
      <c r="G12" s="46">
        <v>46387</v>
      </c>
      <c r="H12" s="47" t="str">
        <f t="shared" ref="H12:H18" ca="1" si="0">IF(AND(G12&lt;TODAY(),F12&lt;&gt;"Terminé"),"⚠️ RETARD","")</f>
        <v/>
      </c>
      <c r="I12" s="27" t="s">
        <v>294</v>
      </c>
      <c r="J12" s="27" t="s">
        <v>295</v>
      </c>
      <c r="K12" s="27" t="s">
        <v>296</v>
      </c>
      <c r="L12" s="48" t="str">
        <f t="shared" ref="L12:L18" si="1">IF(F12="Terminé","À évaluer (J+90)","En attente")</f>
        <v>En attente</v>
      </c>
    </row>
    <row r="13" spans="1:12" ht="64.5" customHeight="1" x14ac:dyDescent="0.3">
      <c r="A13" s="49" t="s">
        <v>82</v>
      </c>
      <c r="B13" s="49" t="s">
        <v>291</v>
      </c>
      <c r="C13" s="44" t="s">
        <v>263</v>
      </c>
      <c r="D13" s="50" t="s">
        <v>297</v>
      </c>
      <c r="E13" s="49" t="s">
        <v>298</v>
      </c>
      <c r="F13" s="45" t="s">
        <v>266</v>
      </c>
      <c r="G13" s="51">
        <v>46203</v>
      </c>
      <c r="H13" s="47" t="str">
        <f t="shared" ca="1" si="0"/>
        <v/>
      </c>
      <c r="I13" s="50" t="s">
        <v>299</v>
      </c>
      <c r="J13" s="50" t="s">
        <v>300</v>
      </c>
      <c r="K13" s="50" t="s">
        <v>301</v>
      </c>
      <c r="L13" s="48" t="str">
        <f t="shared" si="1"/>
        <v>En attente</v>
      </c>
    </row>
    <row r="14" spans="1:12" ht="64.5" customHeight="1" x14ac:dyDescent="0.3">
      <c r="A14" s="26" t="s">
        <v>88</v>
      </c>
      <c r="B14" s="26" t="s">
        <v>291</v>
      </c>
      <c r="C14" s="44" t="s">
        <v>263</v>
      </c>
      <c r="D14" s="27" t="s">
        <v>302</v>
      </c>
      <c r="E14" s="26" t="s">
        <v>303</v>
      </c>
      <c r="F14" s="45" t="s">
        <v>266</v>
      </c>
      <c r="G14" s="46">
        <v>46387</v>
      </c>
      <c r="H14" s="47" t="str">
        <f t="shared" ca="1" si="0"/>
        <v/>
      </c>
      <c r="I14" s="27" t="s">
        <v>304</v>
      </c>
      <c r="J14" s="27" t="s">
        <v>305</v>
      </c>
      <c r="K14" s="27" t="s">
        <v>306</v>
      </c>
      <c r="L14" s="48" t="str">
        <f t="shared" si="1"/>
        <v>En attente</v>
      </c>
    </row>
    <row r="15" spans="1:12" ht="64.5" customHeight="1" x14ac:dyDescent="0.3">
      <c r="A15" s="49" t="s">
        <v>94</v>
      </c>
      <c r="B15" s="49" t="s">
        <v>291</v>
      </c>
      <c r="C15" s="44" t="s">
        <v>263</v>
      </c>
      <c r="D15" s="50" t="s">
        <v>307</v>
      </c>
      <c r="E15" s="49" t="s">
        <v>293</v>
      </c>
      <c r="F15" s="52" t="s">
        <v>277</v>
      </c>
      <c r="G15" s="51">
        <v>46387</v>
      </c>
      <c r="H15" s="47" t="str">
        <f t="shared" ca="1" si="0"/>
        <v/>
      </c>
      <c r="I15" s="50" t="s">
        <v>308</v>
      </c>
      <c r="J15" s="50" t="s">
        <v>309</v>
      </c>
      <c r="K15" s="50" t="s">
        <v>310</v>
      </c>
      <c r="L15" s="48" t="str">
        <f t="shared" si="1"/>
        <v>En attente</v>
      </c>
    </row>
    <row r="16" spans="1:12" ht="64.5" customHeight="1" x14ac:dyDescent="0.3">
      <c r="A16" s="26" t="s">
        <v>99</v>
      </c>
      <c r="B16" s="26" t="s">
        <v>291</v>
      </c>
      <c r="C16" s="44" t="s">
        <v>263</v>
      </c>
      <c r="D16" s="27" t="s">
        <v>311</v>
      </c>
      <c r="E16" s="26" t="s">
        <v>102</v>
      </c>
      <c r="F16" s="45" t="s">
        <v>266</v>
      </c>
      <c r="G16" s="46">
        <v>46295</v>
      </c>
      <c r="H16" s="47" t="str">
        <f t="shared" ca="1" si="0"/>
        <v/>
      </c>
      <c r="I16" s="27" t="s">
        <v>312</v>
      </c>
      <c r="J16" s="27" t="s">
        <v>313</v>
      </c>
      <c r="K16" s="27" t="s">
        <v>314</v>
      </c>
      <c r="L16" s="48" t="str">
        <f t="shared" si="1"/>
        <v>En attente</v>
      </c>
    </row>
    <row r="17" spans="1:12" ht="64.5" customHeight="1" x14ac:dyDescent="0.3">
      <c r="A17" s="49" t="s">
        <v>103</v>
      </c>
      <c r="B17" s="49" t="s">
        <v>291</v>
      </c>
      <c r="C17" s="44" t="s">
        <v>263</v>
      </c>
      <c r="D17" s="50" t="s">
        <v>315</v>
      </c>
      <c r="E17" s="49" t="s">
        <v>316</v>
      </c>
      <c r="F17" s="52" t="s">
        <v>277</v>
      </c>
      <c r="G17" s="51">
        <v>46387</v>
      </c>
      <c r="H17" s="47" t="str">
        <f t="shared" ca="1" si="0"/>
        <v/>
      </c>
      <c r="I17" s="50" t="s">
        <v>317</v>
      </c>
      <c r="J17" s="50" t="s">
        <v>318</v>
      </c>
      <c r="K17" s="50" t="s">
        <v>319</v>
      </c>
      <c r="L17" s="48" t="str">
        <f t="shared" si="1"/>
        <v>En attente</v>
      </c>
    </row>
    <row r="18" spans="1:12" ht="64.5" customHeight="1" x14ac:dyDescent="0.3">
      <c r="A18" s="26" t="s">
        <v>106</v>
      </c>
      <c r="B18" s="26" t="s">
        <v>291</v>
      </c>
      <c r="C18" s="44" t="s">
        <v>263</v>
      </c>
      <c r="D18" s="27" t="s">
        <v>320</v>
      </c>
      <c r="E18" s="26" t="s">
        <v>321</v>
      </c>
      <c r="F18" s="45" t="s">
        <v>266</v>
      </c>
      <c r="G18" s="46">
        <v>46387</v>
      </c>
      <c r="H18" s="47" t="str">
        <f t="shared" ca="1" si="0"/>
        <v/>
      </c>
      <c r="I18" s="27" t="s">
        <v>322</v>
      </c>
      <c r="J18" s="27" t="s">
        <v>323</v>
      </c>
      <c r="K18" s="27" t="s">
        <v>324</v>
      </c>
      <c r="L18" s="48" t="str">
        <f t="shared" si="1"/>
        <v>En attente</v>
      </c>
    </row>
    <row r="19" spans="1:12" ht="19.5" customHeight="1" x14ac:dyDescent="0.3">
      <c r="A19" s="103" t="s">
        <v>111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7"/>
    </row>
    <row r="20" spans="1:12" ht="64.5" customHeight="1" x14ac:dyDescent="0.3">
      <c r="A20" s="26" t="s">
        <v>112</v>
      </c>
      <c r="B20" s="26" t="s">
        <v>325</v>
      </c>
      <c r="C20" s="44" t="s">
        <v>263</v>
      </c>
      <c r="D20" s="27" t="s">
        <v>326</v>
      </c>
      <c r="E20" s="26" t="s">
        <v>327</v>
      </c>
      <c r="F20" s="45" t="s">
        <v>266</v>
      </c>
      <c r="G20" s="46">
        <v>46295</v>
      </c>
      <c r="H20" s="47" t="str">
        <f t="shared" ref="H20:H26" ca="1" si="2">IF(AND(G20&lt;TODAY(),F20&lt;&gt;"Terminé"),"⚠️ RETARD","")</f>
        <v/>
      </c>
      <c r="I20" s="27" t="s">
        <v>328</v>
      </c>
      <c r="J20" s="27" t="s">
        <v>329</v>
      </c>
      <c r="K20" s="27" t="s">
        <v>330</v>
      </c>
      <c r="L20" s="48" t="str">
        <f t="shared" ref="L20:L26" si="3">IF(F20="Terminé","À évaluer (J+90)","En attente")</f>
        <v>En attente</v>
      </c>
    </row>
    <row r="21" spans="1:12" ht="64.5" customHeight="1" x14ac:dyDescent="0.3">
      <c r="A21" s="49" t="s">
        <v>118</v>
      </c>
      <c r="B21" s="49" t="s">
        <v>325</v>
      </c>
      <c r="C21" s="44" t="s">
        <v>263</v>
      </c>
      <c r="D21" s="50" t="s">
        <v>331</v>
      </c>
      <c r="E21" s="49" t="s">
        <v>332</v>
      </c>
      <c r="F21" s="52" t="s">
        <v>277</v>
      </c>
      <c r="G21" s="51">
        <v>46387</v>
      </c>
      <c r="H21" s="47" t="str">
        <f t="shared" ca="1" si="2"/>
        <v/>
      </c>
      <c r="I21" s="50" t="s">
        <v>333</v>
      </c>
      <c r="J21" s="50" t="s">
        <v>334</v>
      </c>
      <c r="K21" s="50" t="s">
        <v>335</v>
      </c>
      <c r="L21" s="48" t="str">
        <f t="shared" si="3"/>
        <v>En attente</v>
      </c>
    </row>
    <row r="22" spans="1:12" ht="64.5" customHeight="1" x14ac:dyDescent="0.3">
      <c r="A22" s="26" t="s">
        <v>122</v>
      </c>
      <c r="B22" s="26" t="s">
        <v>325</v>
      </c>
      <c r="C22" s="44" t="s">
        <v>263</v>
      </c>
      <c r="D22" s="27" t="s">
        <v>336</v>
      </c>
      <c r="E22" s="26" t="s">
        <v>327</v>
      </c>
      <c r="F22" s="45" t="s">
        <v>266</v>
      </c>
      <c r="G22" s="46">
        <v>46295</v>
      </c>
      <c r="H22" s="47" t="str">
        <f t="shared" ca="1" si="2"/>
        <v/>
      </c>
      <c r="I22" s="27" t="s">
        <v>337</v>
      </c>
      <c r="J22" s="27" t="s">
        <v>338</v>
      </c>
      <c r="K22" s="27" t="s">
        <v>339</v>
      </c>
      <c r="L22" s="48" t="str">
        <f t="shared" si="3"/>
        <v>En attente</v>
      </c>
    </row>
    <row r="23" spans="1:12" ht="64.5" customHeight="1" x14ac:dyDescent="0.3">
      <c r="A23" s="49" t="s">
        <v>126</v>
      </c>
      <c r="B23" s="49" t="s">
        <v>325</v>
      </c>
      <c r="C23" s="44" t="s">
        <v>263</v>
      </c>
      <c r="D23" s="50" t="s">
        <v>340</v>
      </c>
      <c r="E23" s="49" t="s">
        <v>276</v>
      </c>
      <c r="F23" s="45" t="s">
        <v>266</v>
      </c>
      <c r="G23" s="51">
        <v>46203</v>
      </c>
      <c r="H23" s="47" t="str">
        <f t="shared" ca="1" si="2"/>
        <v/>
      </c>
      <c r="I23" s="50" t="s">
        <v>341</v>
      </c>
      <c r="J23" s="50" t="s">
        <v>342</v>
      </c>
      <c r="K23" s="50" t="s">
        <v>343</v>
      </c>
      <c r="L23" s="48" t="str">
        <f t="shared" si="3"/>
        <v>En attente</v>
      </c>
    </row>
    <row r="24" spans="1:12" ht="64.5" customHeight="1" x14ac:dyDescent="0.3">
      <c r="A24" s="26" t="s">
        <v>130</v>
      </c>
      <c r="B24" s="26" t="s">
        <v>325</v>
      </c>
      <c r="C24" s="44" t="s">
        <v>263</v>
      </c>
      <c r="D24" s="27" t="s">
        <v>344</v>
      </c>
      <c r="E24" s="26" t="s">
        <v>345</v>
      </c>
      <c r="F24" s="45" t="s">
        <v>266</v>
      </c>
      <c r="G24" s="46">
        <v>46203</v>
      </c>
      <c r="H24" s="47" t="str">
        <f t="shared" ca="1" si="2"/>
        <v/>
      </c>
      <c r="I24" s="27" t="s">
        <v>346</v>
      </c>
      <c r="J24" s="27" t="s">
        <v>347</v>
      </c>
      <c r="K24" s="27" t="s">
        <v>348</v>
      </c>
      <c r="L24" s="48" t="str">
        <f t="shared" si="3"/>
        <v>En attente</v>
      </c>
    </row>
    <row r="25" spans="1:12" ht="64.5" customHeight="1" x14ac:dyDescent="0.3">
      <c r="A25" s="49" t="s">
        <v>134</v>
      </c>
      <c r="B25" s="49" t="s">
        <v>325</v>
      </c>
      <c r="C25" s="44" t="s">
        <v>263</v>
      </c>
      <c r="D25" s="50" t="s">
        <v>349</v>
      </c>
      <c r="E25" s="49" t="s">
        <v>350</v>
      </c>
      <c r="F25" s="45" t="s">
        <v>266</v>
      </c>
      <c r="G25" s="51">
        <v>46173</v>
      </c>
      <c r="H25" s="47" t="str">
        <f t="shared" ca="1" si="2"/>
        <v>⚠️ RETARD</v>
      </c>
      <c r="I25" s="50" t="s">
        <v>351</v>
      </c>
      <c r="J25" s="50" t="s">
        <v>352</v>
      </c>
      <c r="K25" s="50" t="s">
        <v>353</v>
      </c>
      <c r="L25" s="48" t="str">
        <f t="shared" si="3"/>
        <v>En attente</v>
      </c>
    </row>
    <row r="26" spans="1:12" ht="64.5" customHeight="1" x14ac:dyDescent="0.3">
      <c r="A26" s="26" t="s">
        <v>138</v>
      </c>
      <c r="B26" s="26" t="s">
        <v>325</v>
      </c>
      <c r="C26" s="44" t="s">
        <v>263</v>
      </c>
      <c r="D26" s="27" t="s">
        <v>354</v>
      </c>
      <c r="E26" s="26" t="s">
        <v>355</v>
      </c>
      <c r="F26" s="45" t="s">
        <v>266</v>
      </c>
      <c r="G26" s="46">
        <v>46387</v>
      </c>
      <c r="H26" s="47" t="str">
        <f t="shared" ca="1" si="2"/>
        <v/>
      </c>
      <c r="I26" s="27" t="s">
        <v>356</v>
      </c>
      <c r="J26" s="27" t="s">
        <v>357</v>
      </c>
      <c r="K26" s="27" t="s">
        <v>358</v>
      </c>
      <c r="L26" s="48" t="str">
        <f t="shared" si="3"/>
        <v>En attente</v>
      </c>
    </row>
    <row r="27" spans="1:12" ht="19.5" customHeight="1" x14ac:dyDescent="0.3">
      <c r="A27" s="103" t="s">
        <v>142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7"/>
    </row>
    <row r="28" spans="1:12" ht="64.5" customHeight="1" x14ac:dyDescent="0.3">
      <c r="A28" s="26" t="s">
        <v>143</v>
      </c>
      <c r="B28" s="26" t="s">
        <v>359</v>
      </c>
      <c r="C28" s="53" t="s">
        <v>360</v>
      </c>
      <c r="D28" s="27" t="s">
        <v>361</v>
      </c>
      <c r="E28" s="26" t="s">
        <v>362</v>
      </c>
      <c r="F28" s="54" t="s">
        <v>363</v>
      </c>
      <c r="G28" s="46">
        <v>46112</v>
      </c>
      <c r="H28" s="47" t="str">
        <f ca="1">IF(AND(G28&lt;TODAY(),F28&lt;&gt;"Terminé"),"⚠️ RETARD","")</f>
        <v>⚠️ RETARD</v>
      </c>
      <c r="I28" s="27" t="s">
        <v>364</v>
      </c>
      <c r="J28" s="27" t="s">
        <v>365</v>
      </c>
      <c r="K28" s="27" t="s">
        <v>366</v>
      </c>
      <c r="L28" s="48" t="str">
        <f>IF(F28="Terminé","À évaluer (J+90)","En attente")</f>
        <v>En attente</v>
      </c>
    </row>
    <row r="29" spans="1:12" ht="64.5" customHeight="1" x14ac:dyDescent="0.3">
      <c r="A29" s="49" t="s">
        <v>148</v>
      </c>
      <c r="B29" s="49" t="s">
        <v>359</v>
      </c>
      <c r="C29" s="44" t="s">
        <v>263</v>
      </c>
      <c r="D29" s="50" t="s">
        <v>367</v>
      </c>
      <c r="E29" s="49" t="s">
        <v>368</v>
      </c>
      <c r="F29" s="52" t="s">
        <v>277</v>
      </c>
      <c r="G29" s="51">
        <v>46295</v>
      </c>
      <c r="H29" s="47" t="str">
        <f ca="1">IF(AND(G29&lt;TODAY(),F29&lt;&gt;"Terminé"),"⚠️ RETARD","")</f>
        <v/>
      </c>
      <c r="I29" s="50" t="s">
        <v>369</v>
      </c>
      <c r="J29" s="50" t="s">
        <v>370</v>
      </c>
      <c r="K29" s="50" t="s">
        <v>371</v>
      </c>
      <c r="L29" s="48" t="str">
        <f>IF(F29="Terminé","À évaluer (J+90)","En attente")</f>
        <v>En attente</v>
      </c>
    </row>
    <row r="30" spans="1:12" ht="64.5" customHeight="1" x14ac:dyDescent="0.3">
      <c r="A30" s="26" t="s">
        <v>152</v>
      </c>
      <c r="B30" s="26" t="s">
        <v>359</v>
      </c>
      <c r="C30" s="44" t="s">
        <v>263</v>
      </c>
      <c r="D30" s="27" t="s">
        <v>372</v>
      </c>
      <c r="E30" s="26" t="s">
        <v>373</v>
      </c>
      <c r="F30" s="54" t="s">
        <v>363</v>
      </c>
      <c r="G30" s="46">
        <v>46295</v>
      </c>
      <c r="H30" s="47" t="str">
        <f ca="1">IF(AND(G30&lt;TODAY(),F30&lt;&gt;"Terminé"),"⚠️ RETARD","")</f>
        <v/>
      </c>
      <c r="I30" s="27" t="s">
        <v>374</v>
      </c>
      <c r="J30" s="27" t="s">
        <v>375</v>
      </c>
      <c r="K30" s="27" t="s">
        <v>376</v>
      </c>
      <c r="L30" s="48" t="str">
        <f>IF(F30="Terminé","À évaluer (J+90)","En attente")</f>
        <v>En attente</v>
      </c>
    </row>
    <row r="31" spans="1:12" ht="19.5" customHeight="1" x14ac:dyDescent="0.3">
      <c r="A31" s="103" t="s">
        <v>157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7"/>
    </row>
    <row r="32" spans="1:12" ht="64.5" customHeight="1" x14ac:dyDescent="0.3">
      <c r="A32" s="26" t="s">
        <v>158</v>
      </c>
      <c r="B32" s="26" t="s">
        <v>377</v>
      </c>
      <c r="C32" s="53" t="s">
        <v>360</v>
      </c>
      <c r="D32" s="27" t="s">
        <v>378</v>
      </c>
      <c r="E32" s="26" t="s">
        <v>379</v>
      </c>
      <c r="F32" s="54" t="s">
        <v>363</v>
      </c>
      <c r="G32" s="46">
        <v>46203</v>
      </c>
      <c r="H32" s="47" t="str">
        <f ca="1">IF(AND(G32&lt;TODAY(),F32&lt;&gt;"Terminé"),"⚠️ RETARD","")</f>
        <v/>
      </c>
      <c r="I32" s="27" t="s">
        <v>380</v>
      </c>
      <c r="J32" s="27" t="s">
        <v>381</v>
      </c>
      <c r="K32" s="27" t="s">
        <v>382</v>
      </c>
      <c r="L32" s="48" t="str">
        <f>IF(F32="Terminé","À évaluer (J+90)","En attente")</f>
        <v>En attente</v>
      </c>
    </row>
    <row r="33" spans="1:12" ht="64.5" customHeight="1" x14ac:dyDescent="0.3">
      <c r="A33" s="49" t="s">
        <v>166</v>
      </c>
      <c r="B33" s="49" t="s">
        <v>377</v>
      </c>
      <c r="C33" s="53" t="s">
        <v>360</v>
      </c>
      <c r="D33" s="50" t="s">
        <v>383</v>
      </c>
      <c r="E33" s="49" t="s">
        <v>384</v>
      </c>
      <c r="F33" s="54" t="s">
        <v>363</v>
      </c>
      <c r="G33" s="51">
        <v>46387</v>
      </c>
      <c r="H33" s="47" t="str">
        <f ca="1">IF(AND(G33&lt;TODAY(),F33&lt;&gt;"Terminé"),"⚠️ RETARD","")</f>
        <v/>
      </c>
      <c r="I33" s="50" t="s">
        <v>385</v>
      </c>
      <c r="J33" s="50" t="s">
        <v>386</v>
      </c>
      <c r="K33" s="50" t="s">
        <v>387</v>
      </c>
      <c r="L33" s="48" t="str">
        <f>IF(F33="Terminé","À évaluer (J+90)","En attente")</f>
        <v>En attente</v>
      </c>
    </row>
    <row r="34" spans="1:12" ht="64.5" customHeight="1" x14ac:dyDescent="0.3">
      <c r="A34" s="26" t="s">
        <v>172</v>
      </c>
      <c r="B34" s="26" t="s">
        <v>377</v>
      </c>
      <c r="C34" s="44" t="s">
        <v>263</v>
      </c>
      <c r="D34" s="27" t="s">
        <v>388</v>
      </c>
      <c r="E34" s="26" t="s">
        <v>379</v>
      </c>
      <c r="F34" s="52" t="s">
        <v>277</v>
      </c>
      <c r="G34" s="46">
        <v>46295</v>
      </c>
      <c r="H34" s="47" t="str">
        <f ca="1">IF(AND(G34&lt;TODAY(),F34&lt;&gt;"Terminé"),"⚠️ RETARD","")</f>
        <v/>
      </c>
      <c r="I34" s="27" t="s">
        <v>389</v>
      </c>
      <c r="J34" s="27" t="s">
        <v>390</v>
      </c>
      <c r="K34" s="27" t="s">
        <v>391</v>
      </c>
      <c r="L34" s="48" t="str">
        <f>IF(F34="Terminé","À évaluer (J+90)","En attente")</f>
        <v>En attente</v>
      </c>
    </row>
    <row r="35" spans="1:12" ht="19.5" customHeight="1" x14ac:dyDescent="0.3">
      <c r="A35" s="103" t="s">
        <v>176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7"/>
    </row>
    <row r="36" spans="1:12" ht="64.5" customHeight="1" x14ac:dyDescent="0.3">
      <c r="A36" s="26" t="s">
        <v>177</v>
      </c>
      <c r="B36" s="26" t="s">
        <v>392</v>
      </c>
      <c r="C36" s="44" t="s">
        <v>263</v>
      </c>
      <c r="D36" s="27" t="s">
        <v>393</v>
      </c>
      <c r="E36" s="26" t="s">
        <v>394</v>
      </c>
      <c r="F36" s="45" t="s">
        <v>266</v>
      </c>
      <c r="G36" s="46">
        <v>46203</v>
      </c>
      <c r="H36" s="47" t="str">
        <f ca="1">IF(AND(G36&lt;TODAY(),F36&lt;&gt;"Terminé"),"⚠️ RETARD","")</f>
        <v/>
      </c>
      <c r="I36" s="27" t="s">
        <v>395</v>
      </c>
      <c r="J36" s="27" t="s">
        <v>396</v>
      </c>
      <c r="K36" s="27" t="s">
        <v>397</v>
      </c>
      <c r="L36" s="48" t="str">
        <f>IF(F36="Terminé","À évaluer (J+90)","En attente")</f>
        <v>En attente</v>
      </c>
    </row>
    <row r="37" spans="1:12" ht="64.5" customHeight="1" x14ac:dyDescent="0.3">
      <c r="A37" s="49" t="s">
        <v>184</v>
      </c>
      <c r="B37" s="49" t="s">
        <v>392</v>
      </c>
      <c r="C37" s="44" t="s">
        <v>263</v>
      </c>
      <c r="D37" s="50" t="s">
        <v>398</v>
      </c>
      <c r="E37" s="49" t="s">
        <v>394</v>
      </c>
      <c r="F37" s="45" t="s">
        <v>266</v>
      </c>
      <c r="G37" s="51">
        <v>46112</v>
      </c>
      <c r="H37" s="47" t="str">
        <f ca="1">IF(AND(G37&lt;TODAY(),F37&lt;&gt;"Terminé"),"⚠️ RETARD","")</f>
        <v>⚠️ RETARD</v>
      </c>
      <c r="I37" s="50" t="s">
        <v>399</v>
      </c>
      <c r="J37" s="50" t="s">
        <v>400</v>
      </c>
      <c r="K37" s="50" t="s">
        <v>401</v>
      </c>
      <c r="L37" s="48" t="str">
        <f>IF(F37="Terminé","À évaluer (J+90)","En attente")</f>
        <v>En attente</v>
      </c>
    </row>
    <row r="38" spans="1:12" ht="64.5" customHeight="1" x14ac:dyDescent="0.3">
      <c r="A38" s="26" t="s">
        <v>189</v>
      </c>
      <c r="B38" s="26" t="s">
        <v>392</v>
      </c>
      <c r="C38" s="44" t="s">
        <v>263</v>
      </c>
      <c r="D38" s="27" t="s">
        <v>402</v>
      </c>
      <c r="E38" s="26" t="s">
        <v>403</v>
      </c>
      <c r="F38" s="45" t="s">
        <v>266</v>
      </c>
      <c r="G38" s="46">
        <v>46112</v>
      </c>
      <c r="H38" s="47" t="str">
        <f ca="1">IF(AND(G38&lt;TODAY(),F38&lt;&gt;"Terminé"),"⚠️ RETARD","")</f>
        <v>⚠️ RETARD</v>
      </c>
      <c r="I38" s="27" t="s">
        <v>404</v>
      </c>
      <c r="J38" s="27" t="s">
        <v>405</v>
      </c>
      <c r="K38" s="27" t="s">
        <v>406</v>
      </c>
      <c r="L38" s="48" t="str">
        <f>IF(F38="Terminé","À évaluer (J+90)","En attente")</f>
        <v>En attente</v>
      </c>
    </row>
    <row r="39" spans="1:12" ht="64.5" customHeight="1" x14ac:dyDescent="0.3">
      <c r="A39" s="49" t="s">
        <v>193</v>
      </c>
      <c r="B39" s="49" t="s">
        <v>392</v>
      </c>
      <c r="C39" s="44" t="s">
        <v>263</v>
      </c>
      <c r="D39" s="50" t="s">
        <v>407</v>
      </c>
      <c r="E39" s="49" t="s">
        <v>408</v>
      </c>
      <c r="F39" s="45" t="s">
        <v>266</v>
      </c>
      <c r="G39" s="51">
        <v>46387</v>
      </c>
      <c r="H39" s="47" t="str">
        <f ca="1">IF(AND(G39&lt;TODAY(),F39&lt;&gt;"Terminé"),"⚠️ RETARD","")</f>
        <v/>
      </c>
      <c r="I39" s="50" t="s">
        <v>409</v>
      </c>
      <c r="J39" s="50" t="s">
        <v>410</v>
      </c>
      <c r="K39" s="50" t="s">
        <v>411</v>
      </c>
      <c r="L39" s="48" t="str">
        <f>IF(F39="Terminé","À évaluer (J+90)","En attente")</f>
        <v>En attente</v>
      </c>
    </row>
    <row r="40" spans="1:12" ht="64.5" customHeight="1" x14ac:dyDescent="0.3">
      <c r="A40" s="26" t="s">
        <v>196</v>
      </c>
      <c r="B40" s="26" t="s">
        <v>392</v>
      </c>
      <c r="C40" s="53" t="s">
        <v>360</v>
      </c>
      <c r="D40" s="27" t="s">
        <v>412</v>
      </c>
      <c r="E40" s="26" t="s">
        <v>408</v>
      </c>
      <c r="F40" s="55" t="s">
        <v>413</v>
      </c>
      <c r="G40" s="46">
        <v>46387</v>
      </c>
      <c r="H40" s="47" t="str">
        <f ca="1">IF(AND(G40&lt;TODAY(),F40&lt;&gt;"Terminé"),"⚠️ RETARD","")</f>
        <v/>
      </c>
      <c r="I40" s="27" t="s">
        <v>414</v>
      </c>
      <c r="J40" s="27" t="s">
        <v>415</v>
      </c>
      <c r="K40" s="27" t="s">
        <v>416</v>
      </c>
      <c r="L40" s="48" t="str">
        <f>IF(F40="Terminé","À évaluer (J+90)","En attente")</f>
        <v>En attente</v>
      </c>
    </row>
    <row r="41" spans="1:12" ht="19.5" customHeight="1" x14ac:dyDescent="0.3">
      <c r="A41" s="103" t="s">
        <v>200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7"/>
    </row>
    <row r="42" spans="1:12" ht="64.5" customHeight="1" x14ac:dyDescent="0.3">
      <c r="A42" s="26" t="s">
        <v>201</v>
      </c>
      <c r="B42" s="26" t="s">
        <v>417</v>
      </c>
      <c r="C42" s="44" t="s">
        <v>263</v>
      </c>
      <c r="D42" s="27" t="s">
        <v>418</v>
      </c>
      <c r="E42" s="26" t="s">
        <v>207</v>
      </c>
      <c r="F42" s="45" t="s">
        <v>266</v>
      </c>
      <c r="G42" s="46">
        <v>46173</v>
      </c>
      <c r="H42" s="47" t="str">
        <f ca="1">IF(AND(G42&lt;TODAY(),F42&lt;&gt;"Terminé"),"⚠️ RETARD","")</f>
        <v>⚠️ RETARD</v>
      </c>
      <c r="I42" s="27" t="s">
        <v>419</v>
      </c>
      <c r="J42" s="27" t="s">
        <v>420</v>
      </c>
      <c r="K42" s="27" t="s">
        <v>421</v>
      </c>
      <c r="L42" s="48" t="str">
        <f>IF(F42="Terminé","À évaluer (J+90)","En attente")</f>
        <v>En attente</v>
      </c>
    </row>
    <row r="43" spans="1:12" ht="64.5" customHeight="1" x14ac:dyDescent="0.3">
      <c r="A43" s="49" t="s">
        <v>208</v>
      </c>
      <c r="B43" s="49" t="s">
        <v>417</v>
      </c>
      <c r="C43" s="44" t="s">
        <v>263</v>
      </c>
      <c r="D43" s="50" t="s">
        <v>422</v>
      </c>
      <c r="E43" s="49" t="s">
        <v>207</v>
      </c>
      <c r="F43" s="45" t="s">
        <v>266</v>
      </c>
      <c r="G43" s="51">
        <v>46295</v>
      </c>
      <c r="H43" s="47" t="str">
        <f ca="1">IF(AND(G43&lt;TODAY(),F43&lt;&gt;"Terminé"),"⚠️ RETARD","")</f>
        <v/>
      </c>
      <c r="I43" s="50" t="s">
        <v>423</v>
      </c>
      <c r="J43" s="50" t="s">
        <v>424</v>
      </c>
      <c r="K43" s="50" t="s">
        <v>425</v>
      </c>
      <c r="L43" s="48" t="str">
        <f>IF(F43="Terminé","À évaluer (J+90)","En attente")</f>
        <v>En attente</v>
      </c>
    </row>
    <row r="44" spans="1:12" ht="64.5" customHeight="1" x14ac:dyDescent="0.3">
      <c r="A44" s="26" t="s">
        <v>213</v>
      </c>
      <c r="B44" s="26" t="s">
        <v>417</v>
      </c>
      <c r="C44" s="44" t="s">
        <v>263</v>
      </c>
      <c r="D44" s="27" t="s">
        <v>426</v>
      </c>
      <c r="E44" s="26" t="s">
        <v>207</v>
      </c>
      <c r="F44" s="52" t="s">
        <v>277</v>
      </c>
      <c r="G44" s="46">
        <v>46295</v>
      </c>
      <c r="H44" s="47" t="str">
        <f ca="1">IF(AND(G44&lt;TODAY(),F44&lt;&gt;"Terminé"),"⚠️ RETARD","")</f>
        <v/>
      </c>
      <c r="I44" s="27" t="s">
        <v>427</v>
      </c>
      <c r="J44" s="27" t="s">
        <v>428</v>
      </c>
      <c r="K44" s="27" t="s">
        <v>429</v>
      </c>
      <c r="L44" s="48" t="str">
        <f>IF(F44="Terminé","À évaluer (J+90)","En attente")</f>
        <v>En attente</v>
      </c>
    </row>
    <row r="45" spans="1:12" ht="19.5" customHeight="1" x14ac:dyDescent="0.3">
      <c r="A45" s="103" t="s">
        <v>216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7"/>
    </row>
    <row r="46" spans="1:12" ht="64.5" customHeight="1" x14ac:dyDescent="0.3">
      <c r="A46" s="26" t="s">
        <v>217</v>
      </c>
      <c r="B46" s="26" t="s">
        <v>430</v>
      </c>
      <c r="C46" s="44" t="s">
        <v>263</v>
      </c>
      <c r="D46" s="27" t="s">
        <v>431</v>
      </c>
      <c r="E46" s="26" t="s">
        <v>432</v>
      </c>
      <c r="F46" s="45" t="s">
        <v>266</v>
      </c>
      <c r="G46" s="46">
        <v>46295</v>
      </c>
      <c r="H46" s="47" t="str">
        <f ca="1">IF(AND(G46&lt;TODAY(),F46&lt;&gt;"Terminé"),"⚠️ RETARD","")</f>
        <v/>
      </c>
      <c r="I46" s="27" t="s">
        <v>433</v>
      </c>
      <c r="J46" s="27" t="s">
        <v>434</v>
      </c>
      <c r="K46" s="27" t="s">
        <v>435</v>
      </c>
      <c r="L46" s="48" t="str">
        <f>IF(F46="Terminé","À évaluer (J+90)","En attente")</f>
        <v>En attente</v>
      </c>
    </row>
    <row r="47" spans="1:12" ht="64.5" customHeight="1" x14ac:dyDescent="0.3">
      <c r="A47" s="49" t="s">
        <v>223</v>
      </c>
      <c r="B47" s="49" t="s">
        <v>430</v>
      </c>
      <c r="C47" s="44" t="s">
        <v>263</v>
      </c>
      <c r="D47" s="50" t="s">
        <v>436</v>
      </c>
      <c r="E47" s="49" t="s">
        <v>432</v>
      </c>
      <c r="F47" s="52" t="s">
        <v>277</v>
      </c>
      <c r="G47" s="51">
        <v>46387</v>
      </c>
      <c r="H47" s="47" t="str">
        <f ca="1">IF(AND(G47&lt;TODAY(),F47&lt;&gt;"Terminé"),"⚠️ RETARD","")</f>
        <v/>
      </c>
      <c r="I47" s="50" t="s">
        <v>437</v>
      </c>
      <c r="J47" s="50" t="s">
        <v>438</v>
      </c>
      <c r="K47" s="50" t="s">
        <v>439</v>
      </c>
      <c r="L47" s="48" t="str">
        <f>IF(F47="Terminé","À évaluer (J+90)","En attente")</f>
        <v>En attente</v>
      </c>
    </row>
    <row r="48" spans="1:12" ht="64.5" customHeight="1" x14ac:dyDescent="0.3">
      <c r="A48" s="26" t="s">
        <v>226</v>
      </c>
      <c r="B48" s="26" t="s">
        <v>430</v>
      </c>
      <c r="C48" s="44" t="s">
        <v>263</v>
      </c>
      <c r="D48" s="27" t="s">
        <v>440</v>
      </c>
      <c r="E48" s="26" t="s">
        <v>441</v>
      </c>
      <c r="F48" s="52" t="s">
        <v>277</v>
      </c>
      <c r="G48" s="46">
        <v>46295</v>
      </c>
      <c r="H48" s="47" t="str">
        <f ca="1">IF(AND(G48&lt;TODAY(),F48&lt;&gt;"Terminé"),"⚠️ RETARD","")</f>
        <v/>
      </c>
      <c r="I48" s="27" t="s">
        <v>442</v>
      </c>
      <c r="J48" s="27" t="s">
        <v>443</v>
      </c>
      <c r="K48" s="27" t="s">
        <v>444</v>
      </c>
      <c r="L48" s="48" t="str">
        <f>IF(F48="Terminé","À évaluer (J+90)","En attente")</f>
        <v>En attente</v>
      </c>
    </row>
    <row r="49" spans="1:12" ht="19.5" customHeight="1" x14ac:dyDescent="0.3">
      <c r="A49" s="103" t="s">
        <v>229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7"/>
    </row>
    <row r="50" spans="1:12" ht="64.5" customHeight="1" x14ac:dyDescent="0.3">
      <c r="A50" s="26" t="s">
        <v>230</v>
      </c>
      <c r="B50" s="26" t="s">
        <v>445</v>
      </c>
      <c r="C50" s="56" t="s">
        <v>446</v>
      </c>
      <c r="D50" s="27" t="s">
        <v>447</v>
      </c>
      <c r="E50" s="26" t="s">
        <v>448</v>
      </c>
      <c r="F50" s="45" t="s">
        <v>266</v>
      </c>
      <c r="G50" s="46">
        <v>46203</v>
      </c>
      <c r="H50" s="47" t="str">
        <f ca="1">IF(AND(G50&lt;TODAY(),F50&lt;&gt;"Terminé"),"⚠️ RETARD","")</f>
        <v/>
      </c>
      <c r="I50" s="27" t="s">
        <v>449</v>
      </c>
      <c r="J50" s="27" t="s">
        <v>450</v>
      </c>
      <c r="K50" s="27" t="s">
        <v>451</v>
      </c>
      <c r="L50" s="48" t="str">
        <f>IF(F50="Terminé","À évaluer (J+90)","En attente")</f>
        <v>En attente</v>
      </c>
    </row>
    <row r="51" spans="1:12" ht="64.5" customHeight="1" x14ac:dyDescent="0.3">
      <c r="A51" s="49" t="s">
        <v>235</v>
      </c>
      <c r="B51" s="49" t="s">
        <v>445</v>
      </c>
      <c r="C51" s="44" t="s">
        <v>263</v>
      </c>
      <c r="D51" s="50" t="s">
        <v>452</v>
      </c>
      <c r="E51" s="49" t="s">
        <v>453</v>
      </c>
      <c r="F51" s="45" t="s">
        <v>266</v>
      </c>
      <c r="G51" s="51">
        <v>46387</v>
      </c>
      <c r="H51" s="47" t="str">
        <f ca="1">IF(AND(G51&lt;TODAY(),F51&lt;&gt;"Terminé"),"⚠️ RETARD","")</f>
        <v/>
      </c>
      <c r="I51" s="50" t="s">
        <v>454</v>
      </c>
      <c r="J51" s="50" t="s">
        <v>455</v>
      </c>
      <c r="K51" s="50" t="s">
        <v>456</v>
      </c>
      <c r="L51" s="48" t="str">
        <f>IF(F51="Terminé","À évaluer (J+90)","En attente")</f>
        <v>En attente</v>
      </c>
    </row>
    <row r="52" spans="1:12" ht="64.5" customHeight="1" x14ac:dyDescent="0.3">
      <c r="A52" s="26" t="s">
        <v>240</v>
      </c>
      <c r="B52" s="26" t="s">
        <v>445</v>
      </c>
      <c r="C52" s="44" t="s">
        <v>263</v>
      </c>
      <c r="D52" s="27" t="s">
        <v>457</v>
      </c>
      <c r="E52" s="26" t="s">
        <v>458</v>
      </c>
      <c r="F52" s="45" t="s">
        <v>266</v>
      </c>
      <c r="G52" s="46">
        <v>46387</v>
      </c>
      <c r="H52" s="47" t="str">
        <f ca="1">IF(AND(G52&lt;TODAY(),F52&lt;&gt;"Terminé"),"⚠️ RETARD","")</f>
        <v/>
      </c>
      <c r="I52" s="27" t="s">
        <v>459</v>
      </c>
      <c r="J52" s="27" t="s">
        <v>460</v>
      </c>
      <c r="K52" s="27" t="s">
        <v>461</v>
      </c>
      <c r="L52" s="48" t="str">
        <f>IF(F52="Terminé","À évaluer (J+90)","En attente")</f>
        <v>En attente</v>
      </c>
    </row>
    <row r="53" spans="1:12" ht="64.5" customHeight="1" x14ac:dyDescent="0.3">
      <c r="A53" s="49" t="s">
        <v>245</v>
      </c>
      <c r="B53" s="49" t="s">
        <v>445</v>
      </c>
      <c r="C53" s="44" t="s">
        <v>263</v>
      </c>
      <c r="D53" s="50" t="s">
        <v>462</v>
      </c>
      <c r="E53" s="49" t="s">
        <v>458</v>
      </c>
      <c r="F53" s="45" t="s">
        <v>266</v>
      </c>
      <c r="G53" s="51">
        <v>46387</v>
      </c>
      <c r="H53" s="47" t="str">
        <f ca="1">IF(AND(G53&lt;TODAY(),F53&lt;&gt;"Terminé"),"⚠️ RETARD","")</f>
        <v/>
      </c>
      <c r="I53" s="50" t="s">
        <v>463</v>
      </c>
      <c r="J53" s="50" t="s">
        <v>464</v>
      </c>
      <c r="K53" s="50" t="s">
        <v>465</v>
      </c>
      <c r="L53" s="48" t="str">
        <f>IF(F53="Terminé","À évaluer (J+90)","En attente")</f>
        <v>En attente</v>
      </c>
    </row>
  </sheetData>
  <mergeCells count="11">
    <mergeCell ref="A31:L31"/>
    <mergeCell ref="A35:L35"/>
    <mergeCell ref="A41:L41"/>
    <mergeCell ref="A45:L45"/>
    <mergeCell ref="A49:L49"/>
    <mergeCell ref="A27:L27"/>
    <mergeCell ref="A1:L1"/>
    <mergeCell ref="A2:L2"/>
    <mergeCell ref="A5:L5"/>
    <mergeCell ref="A11:L11"/>
    <mergeCell ref="A19:L19"/>
  </mergeCells>
  <conditionalFormatting sqref="C6:C10 C12:C18 C20:C26 C28:C30 C32:C34 C36:C40 C42:C44 C46:C48 C50:C53">
    <cfRule type="containsText" dxfId="8" priority="2" operator="containsText" text="Critique">
      <formula>NOT(ISERROR(SEARCH("Critique",C6)))</formula>
    </cfRule>
    <cfRule type="containsText" dxfId="7" priority="3" operator="containsText" text="Haute">
      <formula>NOT(ISERROR(SEARCH("Haute",C6)))</formula>
    </cfRule>
  </conditionalFormatting>
  <conditionalFormatting sqref="F6:F10 F12:F18 F20:F26 F28:F30 F32:F34 F36:F40 F42:F44 F46:F48 F50:F53">
    <cfRule type="containsText" dxfId="6" priority="4" operator="containsText" text="Terminé">
      <formula>NOT(ISERROR(SEARCH("Terminé",F6)))</formula>
    </cfRule>
    <cfRule type="containsText" dxfId="5" priority="5" operator="containsText" text="En cours">
      <formula>NOT(ISERROR(SEARCH("En cours",F6)))</formula>
    </cfRule>
  </conditionalFormatting>
  <conditionalFormatting sqref="H6:H10 H12:H18 H20:H26 H28:H30 H32:H34 H36:H40 H42:H44 H46:H48 H50:H53">
    <cfRule type="containsText" dxfId="4" priority="6" operator="containsText" text="RETARD">
      <formula>NOT(ISERROR(SEARCH("RETARD",H6)))</formula>
    </cfRule>
  </conditionalFormatting>
  <conditionalFormatting sqref="L6:L10 L12:L18 L20:L26 L28:L30 L32:L34 L36:L40 L42:L44 L46:L48 L50:L53">
    <cfRule type="containsText" dxfId="3" priority="7" operator="containsText" text="En attente">
      <formula>NOT(ISERROR(SEARCH("En attente",L6)))</formula>
    </cfRule>
    <cfRule type="containsText" dxfId="2" priority="8" operator="containsText" text="Efficace">
      <formula>NOT(ISERROR(SEARCH("Efficace",L6)))</formula>
    </cfRule>
    <cfRule type="containsText" dxfId="1" priority="9" operator="containsText" text="À revoir">
      <formula>NOT(ISERROR(SEARCH("À revoir",L6)))</formula>
    </cfRule>
  </conditionalFormatting>
  <conditionalFormatting sqref="H6:H10 H12:H18 H20:H26 H28:H30 H32:H34 H36:H40 H42:H44 H46:H48 H50">
    <cfRule type="expression" dxfId="0" priority="10">
      <formula>H6="⚠️ RETARD"</formula>
    </cfRule>
  </conditionalFormatting>
  <dataValidations count="4">
    <dataValidation type="list" allowBlank="1" showErrorMessage="1" errorTitle="Valeur invalide" error="Choisissez : Critique, Haute, Moyenne ou Faible" sqref="C6:C10 C12:C18 C20:C26 C28:C30 C32:C34 C36:C40 C42:C44 C46:C48 C50:C53" xr:uid="{00000000-0002-0000-0200-000000000000}">
      <formula1>"Critique,Haute,Moyenne,Faible"</formula1>
      <formula2>0</formula2>
    </dataValidation>
    <dataValidation type="list" allowBlank="1" showErrorMessage="1" errorTitle="Valeur invalide" error="Choisissez : Planifié, En cours ou Terminé" sqref="F51:F53" xr:uid="{00000000-0002-0000-0200-000001000000}">
      <formula1>"Planifié,En cours,Terminé"</formula1>
      <formula2>0</formula2>
    </dataValidation>
    <dataValidation type="list" allowBlank="1" showErrorMessage="1" errorTitle="Valeur invalide" error="Choisissez : En attente, Efficace ou À revoir" sqref="L6:L10 L12:L18 L20:L26 L28:L30 L32:L34 L36:L40 L42:L44 L46:L48 L50:L53" xr:uid="{00000000-0002-0000-0200-000002000000}">
      <formula1>"En attente,Efficace,À revoir"</formula1>
      <formula2>0</formula2>
    </dataValidation>
    <dataValidation type="list" allowBlank="1" showErrorMessage="1" errorTitle="Valeur invalide" error="Choisissez : Planifié, En cours, Terminé, À planifier ou Maintenu" sqref="F6:F10 F12:F18 F20:F26 F28:F30 F32:F34 F36:F40 F42:F44 F46:F48 F50" xr:uid="{00000000-0002-0000-0200-000003000000}">
      <formula1>"Planifié,En cours,Terminé,À planifier,Maintenu"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S53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8" sqref="D8"/>
    </sheetView>
  </sheetViews>
  <sheetFormatPr baseColWidth="10" defaultColWidth="8.6640625" defaultRowHeight="14.4" outlineLevelRow="1" x14ac:dyDescent="0.3"/>
  <cols>
    <col min="1" max="1" width="7" style="24" customWidth="1"/>
    <col min="2" max="2" width="8" style="24" customWidth="1"/>
    <col min="3" max="3" width="40" style="24" customWidth="1"/>
    <col min="4" max="4" width="7" style="24" customWidth="1"/>
    <col min="5" max="16" width="9" style="24" customWidth="1"/>
    <col min="17" max="17" width="10" style="24" customWidth="1"/>
    <col min="18" max="18" width="13" style="24" customWidth="1"/>
    <col min="19" max="19" width="55" style="24" customWidth="1"/>
  </cols>
  <sheetData>
    <row r="1" spans="1:19" ht="30" customHeight="1" x14ac:dyDescent="0.3">
      <c r="A1" s="108" t="s">
        <v>466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9" ht="21.75" customHeight="1" x14ac:dyDescent="0.3">
      <c r="A2" s="109" t="s">
        <v>467</v>
      </c>
      <c r="B2" s="87"/>
      <c r="C2" s="87"/>
      <c r="D2" s="87"/>
      <c r="E2" s="118" t="s">
        <v>476</v>
      </c>
      <c r="F2" s="119"/>
      <c r="G2" s="113" t="s">
        <v>469</v>
      </c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57" t="s">
        <v>470</v>
      </c>
    </row>
    <row r="3" spans="1:19" ht="4.5" customHeight="1" x14ac:dyDescent="0.3"/>
    <row r="4" spans="1:19" ht="27.75" customHeight="1" x14ac:dyDescent="0.3">
      <c r="A4" s="58" t="s">
        <v>17</v>
      </c>
      <c r="B4" s="58" t="s">
        <v>13</v>
      </c>
      <c r="C4" s="58" t="s">
        <v>26</v>
      </c>
      <c r="D4" s="58" t="s">
        <v>471</v>
      </c>
      <c r="E4" s="59" t="s">
        <v>468</v>
      </c>
      <c r="F4" s="59" t="s">
        <v>472</v>
      </c>
      <c r="G4" s="59" t="s">
        <v>473</v>
      </c>
      <c r="H4" s="59" t="s">
        <v>474</v>
      </c>
      <c r="I4" s="59" t="s">
        <v>475</v>
      </c>
      <c r="J4" s="59" t="s">
        <v>476</v>
      </c>
      <c r="K4" s="59" t="s">
        <v>477</v>
      </c>
      <c r="L4" s="59" t="s">
        <v>478</v>
      </c>
      <c r="M4" s="59" t="s">
        <v>479</v>
      </c>
      <c r="N4" s="59" t="s">
        <v>480</v>
      </c>
      <c r="O4" s="59" t="s">
        <v>481</v>
      </c>
      <c r="P4" s="59" t="s">
        <v>482</v>
      </c>
      <c r="Q4" s="60" t="s">
        <v>483</v>
      </c>
      <c r="R4" s="61" t="s">
        <v>484</v>
      </c>
    </row>
    <row r="5" spans="1:19" ht="15.75" customHeight="1" x14ac:dyDescent="0.3">
      <c r="A5" s="112" t="s">
        <v>485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spans="1:19" ht="19.5" customHeight="1" outlineLevel="1" x14ac:dyDescent="0.3">
      <c r="A6" s="62" t="s">
        <v>486</v>
      </c>
      <c r="B6" s="63" t="s">
        <v>36</v>
      </c>
      <c r="C6" s="64" t="s">
        <v>487</v>
      </c>
      <c r="D6" s="65" t="s">
        <v>488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>
        <v>0.3</v>
      </c>
      <c r="R6" s="68" t="str">
        <f>IFERROR(LOOKUP(2,1/(E6:P6&lt;&gt;""),E6:P6),"")</f>
        <v/>
      </c>
    </row>
    <row r="7" spans="1:19" ht="19.5" customHeight="1" outlineLevel="1" x14ac:dyDescent="0.3">
      <c r="A7" s="62" t="s">
        <v>486</v>
      </c>
      <c r="B7" s="69" t="s">
        <v>46</v>
      </c>
      <c r="C7" s="70" t="s">
        <v>49</v>
      </c>
      <c r="D7" s="71" t="s">
        <v>489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3">
        <v>1</v>
      </c>
      <c r="R7" s="68" t="str">
        <f>IFERROR(LOOKUP(2,1/(E7:P7&lt;&gt;""),E7:P7),"")</f>
        <v/>
      </c>
    </row>
    <row r="8" spans="1:19" ht="19.5" customHeight="1" outlineLevel="1" x14ac:dyDescent="0.3">
      <c r="A8" s="62" t="s">
        <v>486</v>
      </c>
      <c r="B8" s="63" t="s">
        <v>54</v>
      </c>
      <c r="C8" s="64" t="s">
        <v>58</v>
      </c>
      <c r="D8" s="65" t="s">
        <v>489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3">
        <v>0.2</v>
      </c>
      <c r="R8" s="68" t="str">
        <f>IFERROR(LOOKUP(2,1/(E8:P8&lt;&gt;""),E8:P8),"")</f>
        <v/>
      </c>
    </row>
    <row r="9" spans="1:19" ht="19.5" customHeight="1" outlineLevel="1" x14ac:dyDescent="0.3">
      <c r="A9" s="62" t="s">
        <v>486</v>
      </c>
      <c r="B9" s="69" t="s">
        <v>61</v>
      </c>
      <c r="C9" s="70" t="s">
        <v>65</v>
      </c>
      <c r="D9" s="71" t="s">
        <v>489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3">
        <v>6</v>
      </c>
      <c r="R9" s="68" t="str">
        <f>IFERROR(LOOKUP(2,1/(E9:P9&lt;&gt;""),E9:P9),"")</f>
        <v/>
      </c>
    </row>
    <row r="10" spans="1:19" ht="19.5" customHeight="1" outlineLevel="1" x14ac:dyDescent="0.3">
      <c r="A10" s="62" t="s">
        <v>486</v>
      </c>
      <c r="B10" s="63" t="s">
        <v>68</v>
      </c>
      <c r="C10" s="64" t="s">
        <v>490</v>
      </c>
      <c r="D10" s="65" t="s">
        <v>489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3">
        <v>0.5</v>
      </c>
      <c r="R10" s="68" t="str">
        <f>IFERROR(LOOKUP(2,1/(E10:P10&lt;&gt;""),E10:P10),"")</f>
        <v/>
      </c>
    </row>
    <row r="11" spans="1:19" ht="15.75" customHeight="1" x14ac:dyDescent="0.3">
      <c r="A11" s="116" t="s">
        <v>491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</row>
    <row r="12" spans="1:19" ht="19.5" customHeight="1" outlineLevel="1" x14ac:dyDescent="0.3">
      <c r="A12" s="74" t="s">
        <v>77</v>
      </c>
      <c r="B12" s="63" t="s">
        <v>76</v>
      </c>
      <c r="C12" s="64" t="s">
        <v>79</v>
      </c>
      <c r="D12" s="65" t="s">
        <v>489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3">
        <v>2</v>
      </c>
      <c r="R12" s="68" t="str">
        <f t="shared" ref="R12:R18" si="0">IFERROR(LOOKUP(2,1/(E12:P12&lt;&gt;""),E12:P12),"")</f>
        <v/>
      </c>
    </row>
    <row r="13" spans="1:19" ht="19.5" customHeight="1" outlineLevel="1" x14ac:dyDescent="0.3">
      <c r="A13" s="74" t="s">
        <v>77</v>
      </c>
      <c r="B13" s="69" t="s">
        <v>82</v>
      </c>
      <c r="C13" s="70" t="s">
        <v>492</v>
      </c>
      <c r="D13" s="71" t="s">
        <v>493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6">
        <v>5</v>
      </c>
      <c r="R13" s="68" t="str">
        <f t="shared" si="0"/>
        <v/>
      </c>
    </row>
    <row r="14" spans="1:19" ht="19.5" customHeight="1" outlineLevel="1" x14ac:dyDescent="0.3">
      <c r="A14" s="74" t="s">
        <v>77</v>
      </c>
      <c r="B14" s="63" t="s">
        <v>88</v>
      </c>
      <c r="C14" s="64" t="s">
        <v>91</v>
      </c>
      <c r="D14" s="65" t="s">
        <v>493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6">
        <v>1</v>
      </c>
      <c r="R14" s="68" t="str">
        <f t="shared" si="0"/>
        <v/>
      </c>
    </row>
    <row r="15" spans="1:19" ht="19.5" customHeight="1" outlineLevel="1" x14ac:dyDescent="0.3">
      <c r="A15" s="74" t="s">
        <v>77</v>
      </c>
      <c r="B15" s="69" t="s">
        <v>94</v>
      </c>
      <c r="C15" s="70" t="s">
        <v>97</v>
      </c>
      <c r="D15" s="71" t="s">
        <v>489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3">
        <v>15</v>
      </c>
      <c r="R15" s="68" t="str">
        <f t="shared" si="0"/>
        <v/>
      </c>
    </row>
    <row r="16" spans="1:19" ht="19.5" customHeight="1" outlineLevel="1" x14ac:dyDescent="0.3">
      <c r="A16" s="74" t="s">
        <v>77</v>
      </c>
      <c r="B16" s="63" t="s">
        <v>99</v>
      </c>
      <c r="C16" s="64" t="s">
        <v>494</v>
      </c>
      <c r="D16" s="65" t="s">
        <v>495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3">
        <v>0.8</v>
      </c>
      <c r="R16" s="68" t="str">
        <f t="shared" si="0"/>
        <v/>
      </c>
    </row>
    <row r="17" spans="1:18" ht="19.5" customHeight="1" outlineLevel="1" x14ac:dyDescent="0.3">
      <c r="A17" s="74" t="s">
        <v>77</v>
      </c>
      <c r="B17" s="69" t="s">
        <v>103</v>
      </c>
      <c r="C17" s="70" t="s">
        <v>496</v>
      </c>
      <c r="D17" s="71" t="s">
        <v>489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3">
        <v>3</v>
      </c>
      <c r="R17" s="68" t="str">
        <f t="shared" si="0"/>
        <v/>
      </c>
    </row>
    <row r="18" spans="1:18" ht="19.5" customHeight="1" outlineLevel="1" x14ac:dyDescent="0.3">
      <c r="A18" s="74" t="s">
        <v>77</v>
      </c>
      <c r="B18" s="63" t="s">
        <v>106</v>
      </c>
      <c r="C18" s="64" t="s">
        <v>497</v>
      </c>
      <c r="D18" s="65" t="s">
        <v>488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7">
        <v>0.2</v>
      </c>
      <c r="R18" s="68" t="str">
        <f t="shared" si="0"/>
        <v/>
      </c>
    </row>
    <row r="19" spans="1:18" ht="15.75" customHeight="1" x14ac:dyDescent="0.3">
      <c r="A19" s="115" t="s">
        <v>498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</row>
    <row r="20" spans="1:18" ht="19.5" customHeight="1" outlineLevel="1" x14ac:dyDescent="0.3">
      <c r="A20" s="77" t="s">
        <v>113</v>
      </c>
      <c r="B20" s="63" t="s">
        <v>112</v>
      </c>
      <c r="C20" s="64" t="s">
        <v>115</v>
      </c>
      <c r="D20" s="65" t="s">
        <v>488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7">
        <v>2</v>
      </c>
      <c r="R20" s="68" t="str">
        <f t="shared" ref="R20:R26" si="1">IFERROR(LOOKUP(2,1/(E20:P20&lt;&gt;""),E20:P20),"")</f>
        <v/>
      </c>
    </row>
    <row r="21" spans="1:18" ht="19.5" customHeight="1" outlineLevel="1" x14ac:dyDescent="0.3">
      <c r="A21" s="77" t="s">
        <v>113</v>
      </c>
      <c r="B21" s="69" t="s">
        <v>118</v>
      </c>
      <c r="C21" s="70" t="s">
        <v>499</v>
      </c>
      <c r="D21" s="71" t="s">
        <v>500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>
        <v>50</v>
      </c>
      <c r="R21" s="68" t="str">
        <f t="shared" si="1"/>
        <v/>
      </c>
    </row>
    <row r="22" spans="1:18" ht="19.5" customHeight="1" outlineLevel="1" x14ac:dyDescent="0.3">
      <c r="A22" s="77" t="s">
        <v>113</v>
      </c>
      <c r="B22" s="63" t="s">
        <v>122</v>
      </c>
      <c r="C22" s="64" t="s">
        <v>125</v>
      </c>
      <c r="D22" s="65" t="s">
        <v>489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3">
        <v>2</v>
      </c>
      <c r="R22" s="68" t="str">
        <f t="shared" si="1"/>
        <v/>
      </c>
    </row>
    <row r="23" spans="1:18" ht="19.5" customHeight="1" outlineLevel="1" x14ac:dyDescent="0.3">
      <c r="A23" s="77" t="s">
        <v>113</v>
      </c>
      <c r="B23" s="69" t="s">
        <v>126</v>
      </c>
      <c r="C23" s="70" t="s">
        <v>501</v>
      </c>
      <c r="D23" s="71" t="s">
        <v>493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6">
        <v>0.8</v>
      </c>
      <c r="R23" s="68" t="str">
        <f t="shared" si="1"/>
        <v/>
      </c>
    </row>
    <row r="24" spans="1:18" ht="19.5" customHeight="1" outlineLevel="1" x14ac:dyDescent="0.3">
      <c r="A24" s="77" t="s">
        <v>113</v>
      </c>
      <c r="B24" s="63" t="s">
        <v>130</v>
      </c>
      <c r="C24" s="64" t="s">
        <v>502</v>
      </c>
      <c r="D24" s="65" t="s">
        <v>493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>
        <v>1</v>
      </c>
      <c r="R24" s="68" t="str">
        <f t="shared" si="1"/>
        <v/>
      </c>
    </row>
    <row r="25" spans="1:18" ht="19.5" customHeight="1" outlineLevel="1" x14ac:dyDescent="0.3">
      <c r="A25" s="77" t="s">
        <v>113</v>
      </c>
      <c r="B25" s="69" t="s">
        <v>134</v>
      </c>
      <c r="C25" s="70" t="s">
        <v>136</v>
      </c>
      <c r="D25" s="71" t="s">
        <v>493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6">
        <v>1</v>
      </c>
      <c r="R25" s="68" t="str">
        <f t="shared" si="1"/>
        <v/>
      </c>
    </row>
    <row r="26" spans="1:18" ht="19.5" customHeight="1" outlineLevel="1" x14ac:dyDescent="0.3">
      <c r="A26" s="77" t="s">
        <v>113</v>
      </c>
      <c r="B26" s="63" t="s">
        <v>138</v>
      </c>
      <c r="C26" s="64" t="s">
        <v>141</v>
      </c>
      <c r="D26" s="65" t="s">
        <v>488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7">
        <v>0.3</v>
      </c>
      <c r="R26" s="68" t="str">
        <f t="shared" si="1"/>
        <v/>
      </c>
    </row>
    <row r="27" spans="1:18" ht="15.75" customHeight="1" x14ac:dyDescent="0.3">
      <c r="A27" s="110" t="s">
        <v>503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</row>
    <row r="28" spans="1:18" ht="19.5" customHeight="1" outlineLevel="1" x14ac:dyDescent="0.3">
      <c r="A28" s="78" t="s">
        <v>504</v>
      </c>
      <c r="B28" s="63" t="s">
        <v>143</v>
      </c>
      <c r="C28" s="64" t="s">
        <v>505</v>
      </c>
      <c r="D28" s="65" t="s">
        <v>493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6">
        <v>1</v>
      </c>
      <c r="R28" s="68" t="str">
        <f>IFERROR(LOOKUP(2,1/(E28:P28&lt;&gt;""),E28:P28),"")</f>
        <v/>
      </c>
    </row>
    <row r="29" spans="1:18" ht="19.5" customHeight="1" outlineLevel="1" x14ac:dyDescent="0.3">
      <c r="A29" s="78" t="s">
        <v>504</v>
      </c>
      <c r="B29" s="69" t="s">
        <v>148</v>
      </c>
      <c r="C29" s="70" t="s">
        <v>506</v>
      </c>
      <c r="D29" s="71" t="s">
        <v>489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3">
        <v>5</v>
      </c>
      <c r="R29" s="68" t="str">
        <f>IFERROR(LOOKUP(2,1/(E29:P29&lt;&gt;""),E29:P29),"")</f>
        <v/>
      </c>
    </row>
    <row r="30" spans="1:18" ht="19.5" customHeight="1" outlineLevel="1" x14ac:dyDescent="0.3">
      <c r="A30" s="78" t="s">
        <v>504</v>
      </c>
      <c r="B30" s="63" t="s">
        <v>152</v>
      </c>
      <c r="C30" s="64" t="s">
        <v>507</v>
      </c>
      <c r="D30" s="65" t="s">
        <v>488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7">
        <v>0.9</v>
      </c>
      <c r="R30" s="68" t="str">
        <f>IFERROR(LOOKUP(2,1/(E30:P30&lt;&gt;""),E30:P30),"")</f>
        <v/>
      </c>
    </row>
    <row r="31" spans="1:18" ht="15.75" customHeight="1" x14ac:dyDescent="0.3">
      <c r="A31" s="111" t="s">
        <v>508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</row>
    <row r="32" spans="1:18" ht="19.5" customHeight="1" outlineLevel="1" x14ac:dyDescent="0.3">
      <c r="A32" s="79" t="s">
        <v>509</v>
      </c>
      <c r="B32" s="63" t="s">
        <v>158</v>
      </c>
      <c r="C32" s="64" t="s">
        <v>510</v>
      </c>
      <c r="D32" s="65" t="s">
        <v>488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7">
        <v>0.8</v>
      </c>
      <c r="R32" s="68" t="str">
        <f>IFERROR(LOOKUP(2,1/(E32:P32&lt;&gt;""),E32:P32),"")</f>
        <v/>
      </c>
    </row>
    <row r="33" spans="1:18" ht="19.5" customHeight="1" outlineLevel="1" x14ac:dyDescent="0.3">
      <c r="A33" s="79" t="s">
        <v>509</v>
      </c>
      <c r="B33" s="69" t="s">
        <v>166</v>
      </c>
      <c r="C33" s="70" t="s">
        <v>511</v>
      </c>
      <c r="D33" s="71" t="s">
        <v>489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3">
        <v>1</v>
      </c>
      <c r="R33" s="68" t="str">
        <f>IFERROR(LOOKUP(2,1/(E33:P33&lt;&gt;""),E33:P33),"")</f>
        <v/>
      </c>
    </row>
    <row r="34" spans="1:18" ht="19.5" customHeight="1" outlineLevel="1" x14ac:dyDescent="0.3">
      <c r="A34" s="79" t="s">
        <v>509</v>
      </c>
      <c r="B34" s="63" t="s">
        <v>172</v>
      </c>
      <c r="C34" s="64" t="s">
        <v>512</v>
      </c>
      <c r="D34" s="65" t="s">
        <v>489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3">
        <v>1</v>
      </c>
      <c r="R34" s="68" t="str">
        <f>IFERROR(LOOKUP(2,1/(E34:P34&lt;&gt;""),E34:P34),"")</f>
        <v/>
      </c>
    </row>
    <row r="35" spans="1:18" ht="15.75" customHeight="1" x14ac:dyDescent="0.3">
      <c r="A35" s="121" t="s">
        <v>513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</row>
    <row r="36" spans="1:18" ht="19.5" customHeight="1" outlineLevel="1" x14ac:dyDescent="0.3">
      <c r="A36" s="80" t="s">
        <v>514</v>
      </c>
      <c r="B36" s="63" t="s">
        <v>177</v>
      </c>
      <c r="C36" s="64" t="s">
        <v>180</v>
      </c>
      <c r="D36" s="65" t="s">
        <v>488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7">
        <v>0.9</v>
      </c>
      <c r="R36" s="68" t="str">
        <f>IFERROR(LOOKUP(2,1/(E36:P36&lt;&gt;""),E36:P36),"")</f>
        <v/>
      </c>
    </row>
    <row r="37" spans="1:18" ht="19.5" customHeight="1" outlineLevel="1" x14ac:dyDescent="0.3">
      <c r="A37" s="80" t="s">
        <v>514</v>
      </c>
      <c r="B37" s="69" t="s">
        <v>184</v>
      </c>
      <c r="C37" s="70" t="s">
        <v>187</v>
      </c>
      <c r="D37" s="71" t="s">
        <v>488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7">
        <v>1</v>
      </c>
      <c r="R37" s="68" t="str">
        <f>IFERROR(LOOKUP(2,1/(E37:P37&lt;&gt;""),E37:P37),"")</f>
        <v/>
      </c>
    </row>
    <row r="38" spans="1:18" ht="19.5" customHeight="1" outlineLevel="1" x14ac:dyDescent="0.3">
      <c r="A38" s="80" t="s">
        <v>514</v>
      </c>
      <c r="B38" s="63" t="s">
        <v>189</v>
      </c>
      <c r="C38" s="64" t="s">
        <v>192</v>
      </c>
      <c r="D38" s="65" t="s">
        <v>493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6">
        <v>1</v>
      </c>
      <c r="R38" s="68" t="str">
        <f>IFERROR(LOOKUP(2,1/(E38:P38&lt;&gt;""),E38:P38),"")</f>
        <v/>
      </c>
    </row>
    <row r="39" spans="1:18" ht="19.5" customHeight="1" outlineLevel="1" x14ac:dyDescent="0.3">
      <c r="A39" s="80" t="s">
        <v>514</v>
      </c>
      <c r="B39" s="69" t="s">
        <v>193</v>
      </c>
      <c r="C39" s="70" t="s">
        <v>195</v>
      </c>
      <c r="D39" s="71" t="s">
        <v>489</v>
      </c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3">
        <v>0.95</v>
      </c>
      <c r="R39" s="68" t="str">
        <f>IFERROR(LOOKUP(2,1/(E39:P39&lt;&gt;""),E39:P39),"")</f>
        <v/>
      </c>
    </row>
    <row r="40" spans="1:18" ht="19.5" customHeight="1" outlineLevel="1" x14ac:dyDescent="0.3">
      <c r="A40" s="80" t="s">
        <v>514</v>
      </c>
      <c r="B40" s="63" t="s">
        <v>196</v>
      </c>
      <c r="C40" s="64" t="s">
        <v>515</v>
      </c>
      <c r="D40" s="65" t="s">
        <v>489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3">
        <v>0</v>
      </c>
      <c r="R40" s="68" t="str">
        <f>IFERROR(LOOKUP(2,1/(E40:P40&lt;&gt;""),E40:P40),"")</f>
        <v/>
      </c>
    </row>
    <row r="41" spans="1:18" ht="15.75" customHeight="1" x14ac:dyDescent="0.3">
      <c r="A41" s="114" t="s">
        <v>516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</row>
    <row r="42" spans="1:18" ht="19.5" customHeight="1" outlineLevel="1" x14ac:dyDescent="0.3">
      <c r="A42" s="81" t="s">
        <v>202</v>
      </c>
      <c r="B42" s="63" t="s">
        <v>201</v>
      </c>
      <c r="C42" s="64" t="s">
        <v>205</v>
      </c>
      <c r="D42" s="65" t="s">
        <v>488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7">
        <v>0.995</v>
      </c>
      <c r="R42" s="68" t="str">
        <f>IFERROR(LOOKUP(2,1/(E42:P42&lt;&gt;""),E42:P42),"")</f>
        <v/>
      </c>
    </row>
    <row r="43" spans="1:18" ht="19.5" customHeight="1" outlineLevel="1" x14ac:dyDescent="0.3">
      <c r="A43" s="81" t="s">
        <v>202</v>
      </c>
      <c r="B43" s="69" t="s">
        <v>208</v>
      </c>
      <c r="C43" s="70" t="s">
        <v>517</v>
      </c>
      <c r="D43" s="71" t="s">
        <v>489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3">
        <v>1</v>
      </c>
      <c r="R43" s="68" t="str">
        <f>IFERROR(LOOKUP(2,1/(E43:P43&lt;&gt;""),E43:P43),"")</f>
        <v/>
      </c>
    </row>
    <row r="44" spans="1:18" ht="19.5" customHeight="1" outlineLevel="1" x14ac:dyDescent="0.3">
      <c r="A44" s="81" t="s">
        <v>202</v>
      </c>
      <c r="B44" s="63" t="s">
        <v>213</v>
      </c>
      <c r="C44" s="64" t="s">
        <v>518</v>
      </c>
      <c r="D44" s="65" t="s">
        <v>493</v>
      </c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>
        <v>1</v>
      </c>
      <c r="R44" s="68" t="str">
        <f>IFERROR(LOOKUP(2,1/(E44:P44&lt;&gt;""),E44:P44),"")</f>
        <v/>
      </c>
    </row>
    <row r="45" spans="1:18" ht="15.75" customHeight="1" x14ac:dyDescent="0.3">
      <c r="A45" s="120" t="s">
        <v>519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</row>
    <row r="46" spans="1:18" ht="19.5" customHeight="1" outlineLevel="1" x14ac:dyDescent="0.3">
      <c r="A46" s="82" t="s">
        <v>520</v>
      </c>
      <c r="B46" s="63" t="s">
        <v>217</v>
      </c>
      <c r="C46" s="64" t="s">
        <v>521</v>
      </c>
      <c r="D46" s="65" t="s">
        <v>488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7">
        <v>3</v>
      </c>
      <c r="R46" s="68" t="str">
        <f>IFERROR(LOOKUP(2,1/(E46:P46&lt;&gt;""),E46:P46),"")</f>
        <v/>
      </c>
    </row>
    <row r="47" spans="1:18" ht="19.5" customHeight="1" outlineLevel="1" x14ac:dyDescent="0.3">
      <c r="A47" s="82" t="s">
        <v>520</v>
      </c>
      <c r="B47" s="69" t="s">
        <v>223</v>
      </c>
      <c r="C47" s="70" t="s">
        <v>225</v>
      </c>
      <c r="D47" s="71" t="s">
        <v>489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3">
        <v>100</v>
      </c>
      <c r="R47" s="68" t="str">
        <f>IFERROR(LOOKUP(2,1/(E47:P47&lt;&gt;""),E47:P47),"")</f>
        <v/>
      </c>
    </row>
    <row r="48" spans="1:18" ht="19.5" customHeight="1" outlineLevel="1" x14ac:dyDescent="0.3">
      <c r="A48" s="82" t="s">
        <v>520</v>
      </c>
      <c r="B48" s="63" t="s">
        <v>226</v>
      </c>
      <c r="C48" s="64" t="s">
        <v>522</v>
      </c>
      <c r="D48" s="65" t="s">
        <v>489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3">
        <v>3</v>
      </c>
      <c r="R48" s="68" t="str">
        <f>IFERROR(LOOKUP(2,1/(E48:P48&lt;&gt;""),E48:P48),"")</f>
        <v/>
      </c>
    </row>
    <row r="49" spans="1:18" ht="15.75" customHeight="1" x14ac:dyDescent="0.3">
      <c r="A49" s="117" t="s">
        <v>523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</row>
    <row r="50" spans="1:18" ht="19.5" customHeight="1" outlineLevel="1" x14ac:dyDescent="0.3">
      <c r="A50" s="83" t="s">
        <v>236</v>
      </c>
      <c r="B50" s="63" t="s">
        <v>230</v>
      </c>
      <c r="C50" s="64" t="s">
        <v>234</v>
      </c>
      <c r="D50" s="65" t="s">
        <v>493</v>
      </c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6">
        <v>1</v>
      </c>
      <c r="R50" s="68" t="str">
        <f>IFERROR(LOOKUP(2,1/(E50:P50&lt;&gt;""),E50:P50),"")</f>
        <v/>
      </c>
    </row>
    <row r="51" spans="1:18" ht="19.5" customHeight="1" outlineLevel="1" x14ac:dyDescent="0.3">
      <c r="A51" s="83" t="s">
        <v>236</v>
      </c>
      <c r="B51" s="69" t="s">
        <v>235</v>
      </c>
      <c r="C51" s="70" t="s">
        <v>238</v>
      </c>
      <c r="D51" s="71" t="s">
        <v>488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7">
        <v>0.9</v>
      </c>
      <c r="R51" s="68" t="str">
        <f>IFERROR(LOOKUP(2,1/(E51:P51&lt;&gt;""),E51:P51),"")</f>
        <v/>
      </c>
    </row>
    <row r="52" spans="1:18" ht="19.5" customHeight="1" outlineLevel="1" x14ac:dyDescent="0.3">
      <c r="A52" s="83" t="s">
        <v>236</v>
      </c>
      <c r="B52" s="63" t="s">
        <v>240</v>
      </c>
      <c r="C52" s="64" t="s">
        <v>524</v>
      </c>
      <c r="D52" s="65" t="s">
        <v>489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3">
        <v>0.9</v>
      </c>
      <c r="R52" s="68" t="str">
        <f>IFERROR(LOOKUP(2,1/(E52:P52&lt;&gt;""),E52:P52),"")</f>
        <v/>
      </c>
    </row>
    <row r="53" spans="1:18" ht="19.5" customHeight="1" outlineLevel="1" x14ac:dyDescent="0.3">
      <c r="A53" s="83" t="s">
        <v>236</v>
      </c>
      <c r="B53" s="69" t="s">
        <v>245</v>
      </c>
      <c r="C53" s="70" t="s">
        <v>248</v>
      </c>
      <c r="D53" s="71" t="s">
        <v>495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3">
        <v>1</v>
      </c>
      <c r="R53" s="68" t="str">
        <f>IFERROR(LOOKUP(2,1/(E53:P53&lt;&gt;""),E53:P53),"")</f>
        <v/>
      </c>
    </row>
  </sheetData>
  <mergeCells count="13">
    <mergeCell ref="A41:R41"/>
    <mergeCell ref="A19:R19"/>
    <mergeCell ref="A11:R11"/>
    <mergeCell ref="A49:R49"/>
    <mergeCell ref="E2:F2"/>
    <mergeCell ref="A45:R45"/>
    <mergeCell ref="A35:R35"/>
    <mergeCell ref="A1:R1"/>
    <mergeCell ref="A2:D2"/>
    <mergeCell ref="A27:R27"/>
    <mergeCell ref="A31:R31"/>
    <mergeCell ref="A5:R5"/>
    <mergeCell ref="G2:R2"/>
  </mergeCells>
  <conditionalFormatting sqref="E5:P53">
    <cfRule type="colorScale" priority="2">
      <colorScale>
        <cfvo type="min"/>
        <cfvo type="num" val="0"/>
        <cfvo type="max"/>
        <color rgb="FFFFC7CE"/>
        <color rgb="FFFFEB9C"/>
        <color rgb="FFC6EFCE"/>
      </colorScale>
    </cfRule>
  </conditionalFormatting>
  <dataValidations count="1">
    <dataValidation type="list" showErrorMessage="1" errorTitle="Valeur invalide" error="Sélectionnez un mois de la liste" sqref="E2" xr:uid="{00000000-0002-0000-0300-000000000000}">
      <formula1>"Janv.,Févr.,Mars,Avr.,Mai,Juin,Juill.,Août,Sept.,Oct.,Nov.,Déc."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525</v>
      </c>
      <c r="B1" t="s">
        <v>18</v>
      </c>
      <c r="C1" t="s">
        <v>19</v>
      </c>
    </row>
    <row r="2" spans="1:3" x14ac:dyDescent="0.3">
      <c r="A2" t="s">
        <v>486</v>
      </c>
      <c r="B2" t="s">
        <v>526</v>
      </c>
      <c r="C2">
        <f>IFERROR(AVERAGEIF('6.2.1 Objectifs SMART'!$B:$B,"PM1*",'6.2.1 Objectifs SMART'!$L:$L),0)</f>
        <v>0.2</v>
      </c>
    </row>
    <row r="3" spans="1:3" x14ac:dyDescent="0.3">
      <c r="A3" t="s">
        <v>77</v>
      </c>
      <c r="B3" t="s">
        <v>527</v>
      </c>
      <c r="C3">
        <f>IFERROR(AVERAGEIF('6.2.1 Objectifs SMART'!$B:$B,"PR1*",'6.2.1 Objectifs SMART'!$L:$L),0)</f>
        <v>0</v>
      </c>
    </row>
    <row r="4" spans="1:3" x14ac:dyDescent="0.3">
      <c r="A4" t="s">
        <v>113</v>
      </c>
      <c r="B4" t="s">
        <v>528</v>
      </c>
      <c r="C4">
        <f>IFERROR(AVERAGEIF('6.2.1 Objectifs SMART'!$B:$B,"PR2*",'6.2.1 Objectifs SMART'!$L:$L),0)</f>
        <v>0</v>
      </c>
    </row>
    <row r="5" spans="1:3" x14ac:dyDescent="0.3">
      <c r="A5" t="s">
        <v>504</v>
      </c>
      <c r="B5" t="s">
        <v>529</v>
      </c>
      <c r="C5">
        <f>IFERROR(AVERAGEIF('6.2.1 Objectifs SMART'!$B:$B,"PR3*",'6.2.1 Objectifs SMART'!$L:$L),0)</f>
        <v>0</v>
      </c>
    </row>
    <row r="6" spans="1:3" x14ac:dyDescent="0.3">
      <c r="A6" t="s">
        <v>509</v>
      </c>
      <c r="B6" t="s">
        <v>530</v>
      </c>
      <c r="C6">
        <f>IFERROR(AVERAGEIF('6.2.1 Objectifs SMART'!$B:$B,"PS1*",'6.2.1 Objectifs SMART'!$L:$L),0)</f>
        <v>0</v>
      </c>
    </row>
    <row r="7" spans="1:3" x14ac:dyDescent="0.3">
      <c r="A7" t="s">
        <v>514</v>
      </c>
      <c r="B7" t="s">
        <v>531</v>
      </c>
      <c r="C7">
        <f>IFERROR(AVERAGEIF('6.2.1 Objectifs SMART'!$B:$B,"PS2*",'6.2.1 Objectifs SMART'!$L:$L),0)</f>
        <v>0</v>
      </c>
    </row>
    <row r="8" spans="1:3" x14ac:dyDescent="0.3">
      <c r="A8" t="s">
        <v>202</v>
      </c>
      <c r="B8" t="s">
        <v>532</v>
      </c>
      <c r="C8">
        <f>IFERROR(AVERAGEIF('6.2.1 Objectifs SMART'!$B:$B,"PS3*",'6.2.1 Objectifs SMART'!$L:$L),0)</f>
        <v>0</v>
      </c>
    </row>
    <row r="9" spans="1:3" x14ac:dyDescent="0.3">
      <c r="A9" t="s">
        <v>520</v>
      </c>
      <c r="B9" t="s">
        <v>533</v>
      </c>
      <c r="C9">
        <f>IFERROR(AVERAGEIF('6.2.1 Objectifs SMART'!$B:$B,"PS4*",'6.2.1 Objectifs SMART'!$L:$L),0)</f>
        <v>0</v>
      </c>
    </row>
    <row r="10" spans="1:3" x14ac:dyDescent="0.3">
      <c r="A10" t="s">
        <v>236</v>
      </c>
      <c r="B10" t="s">
        <v>534</v>
      </c>
      <c r="C10">
        <f>IFERROR(AVERAGEIF('6.2.1 Objectifs SMART'!$B:$B,"PS5*",'6.2.1 Objectifs SMART'!$L:$L),0)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00_DASHBOARD</vt:lpstr>
      <vt:lpstr>6.2.1 Objectifs SMART</vt:lpstr>
      <vt:lpstr>6.2.2 Plan d'Actions</vt:lpstr>
      <vt:lpstr>03_SUIVI_DATA</vt:lpstr>
      <vt:lpstr>_MOTEUR_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emna marzouki</cp:lastModifiedBy>
  <cp:revision>1</cp:revision>
  <dcterms:created xsi:type="dcterms:W3CDTF">2026-04-14T13:44:40Z</dcterms:created>
  <dcterms:modified xsi:type="dcterms:W3CDTF">2026-06-04T19:28:21Z</dcterms:modified>
  <dc:language>en-US</dc:language>
</cp:coreProperties>
</file>