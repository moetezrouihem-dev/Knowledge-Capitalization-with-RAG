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na\Downloads\"/>
    </mc:Choice>
  </mc:AlternateContent>
  <xr:revisionPtr revIDLastSave="0" documentId="13_ncr:1_{6CFE7A53-42CB-4AD8-AAB5-67FE4A234FC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DENTITÉ" sheetId="1" r:id="rId1"/>
    <sheet name="REGISTRE" sheetId="2" r:id="rId2"/>
  </sheets>
  <definedNames>
    <definedName name="_xlnm.Print_Area" localSheetId="1">REGISTRE!$A$1:$L$80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5" i="2" l="1"/>
  <c r="F75" i="2"/>
  <c r="H74" i="2"/>
  <c r="H73" i="2"/>
  <c r="F73" i="2"/>
  <c r="H71" i="2"/>
  <c r="F71" i="2"/>
  <c r="J62" i="2"/>
  <c r="J61" i="2"/>
  <c r="L74" i="2" s="1"/>
  <c r="J58" i="2"/>
  <c r="J57" i="2"/>
  <c r="J56" i="2"/>
  <c r="J55" i="2"/>
  <c r="J73" i="2" s="1"/>
  <c r="J52" i="2"/>
  <c r="J51" i="2"/>
  <c r="H72" i="2" s="1"/>
  <c r="J50" i="2"/>
  <c r="L72" i="2" s="1"/>
  <c r="J47" i="2"/>
  <c r="J46" i="2"/>
  <c r="J45" i="2"/>
  <c r="J44" i="2"/>
  <c r="J43" i="2"/>
  <c r="J71" i="2" s="1"/>
  <c r="J40" i="2"/>
  <c r="J39" i="2"/>
  <c r="J38" i="2"/>
  <c r="J37" i="2"/>
  <c r="J36" i="2"/>
  <c r="H70" i="2" s="1"/>
  <c r="J35" i="2"/>
  <c r="L70" i="2" s="1"/>
  <c r="J32" i="2"/>
  <c r="J31" i="2"/>
  <c r="J30" i="2"/>
  <c r="J29" i="2"/>
  <c r="F69" i="2" s="1"/>
  <c r="J28" i="2"/>
  <c r="J27" i="2"/>
  <c r="J24" i="2"/>
  <c r="J23" i="2"/>
  <c r="J22" i="2"/>
  <c r="J21" i="2"/>
  <c r="J20" i="2"/>
  <c r="J19" i="2"/>
  <c r="H68" i="2" s="1"/>
  <c r="J18" i="2"/>
  <c r="J17" i="2"/>
  <c r="L68" i="2" s="1"/>
  <c r="J14" i="2"/>
  <c r="J13" i="2"/>
  <c r="J12" i="2"/>
  <c r="J11" i="2"/>
  <c r="J10" i="2"/>
  <c r="J9" i="2"/>
  <c r="L75" i="2" s="1"/>
  <c r="J67" i="2" l="1"/>
  <c r="L69" i="2"/>
  <c r="L71" i="2"/>
  <c r="L73" i="2"/>
  <c r="F68" i="2"/>
  <c r="F70" i="2"/>
  <c r="F72" i="2"/>
  <c r="F74" i="2"/>
  <c r="H69" i="2"/>
  <c r="L67" i="2"/>
  <c r="J68" i="2"/>
  <c r="J70" i="2"/>
  <c r="J72" i="2"/>
  <c r="J74" i="2"/>
  <c r="F67" i="2"/>
  <c r="J69" i="2"/>
  <c r="J75" i="2"/>
  <c r="H67" i="2"/>
</calcChain>
</file>

<file path=xl/sharedStrings.xml><?xml version="1.0" encoding="utf-8"?>
<sst xmlns="http://schemas.openxmlformats.org/spreadsheetml/2006/main" count="248" uniqueCount="192">
  <si>
    <t>SYSTÈME DE MANAGEMENT DE LA QUALITÉ — SFM TECHNOLOGIES</t>
  </si>
  <si>
    <t>Checklist d'Audit Interne — Grille de Questions — SMQ-FOR-092-C</t>
  </si>
  <si>
    <t>Référence</t>
  </si>
  <si>
    <t>SMQ-FOR-092-C</t>
  </si>
  <si>
    <t>Version</t>
  </si>
  <si>
    <t>V02</t>
  </si>
  <si>
    <t>Date d'émission</t>
  </si>
  <si>
    <t>Juin 2026</t>
  </si>
  <si>
    <t>Statut</t>
  </si>
  <si>
    <t>En Vigueur</t>
  </si>
  <si>
    <t>Clause ISO 9001:2015</t>
  </si>
  <si>
    <t>§9.2 — Audit interne</t>
  </si>
  <si>
    <t>Processus couverts</t>
  </si>
  <si>
    <t>PM1, PR1 (BU Telco), PR2 (BU Digital), PR3 (BU Formation), PS1 (RH), PS2 (Doc.), PS3 (IT), PS4 (Finance)</t>
  </si>
  <si>
    <t>Rédacteur</t>
  </si>
  <si>
    <t>Manel Idoudi — PMO-Qualité</t>
  </si>
  <si>
    <t>Approbateur</t>
  </si>
  <si>
    <t>Sami Tabbane — Directeur Général</t>
  </si>
  <si>
    <t>Référentiel</t>
  </si>
  <si>
    <t>ISO 9001:2015 §9.2</t>
  </si>
  <si>
    <t>Utilisation</t>
  </si>
  <si>
    <t>Remplir C/NC/N/A pendant l'audit. Taux de conformité calculé automatiquement.</t>
  </si>
  <si>
    <t>CADRE DE VALIDATION</t>
  </si>
  <si>
    <t>RÉDIGÉ PAR</t>
  </si>
  <si>
    <t>VÉRIFIÉ PAR</t>
  </si>
  <si>
    <t>APPROUVÉ PAR</t>
  </si>
  <si>
    <t>Signature : _________________</t>
  </si>
  <si>
    <t>Date : ___/___/______</t>
  </si>
  <si>
    <t>SMQ-FOR-092-C | Checklist d'Audit Interne | SFM Technologies | ISO 9001:2015 §9.2 | Document confidentiel — Usage interne uniquement</t>
  </si>
  <si>
    <t>SMQ-FOR-092-C  |  CHECKLIST D'AUDIT INTERNE  |  SFM TECHNOLOGIES  |  ISO 9001:2015 §9.2</t>
  </si>
  <si>
    <t>RÉSULTAT GLOBAL :   Conformes = COUNTIF(J:J,"C")   |   NC = COUNTIF(J:J,"NC")   |   N/A = COUNTIF(J:J,"N/A")   —   Taux conformité = C/(C+NC)</t>
  </si>
  <si>
    <t>N° Session :</t>
  </si>
  <si>
    <t>AUD-2026-001</t>
  </si>
  <si>
    <t>Date :</t>
  </si>
  <si>
    <t>___/___/2026</t>
  </si>
  <si>
    <t>Auditeur :</t>
  </si>
  <si>
    <t>Cabinet externe / Manel Idoudi</t>
  </si>
  <si>
    <t>BU concernée</t>
  </si>
  <si>
    <t>N°</t>
  </si>
  <si>
    <t>Section / BU</t>
  </si>
  <si>
    <t>Clause
ISO</t>
  </si>
  <si>
    <t>Question d'Audit</t>
  </si>
  <si>
    <t>Preuve / Évidence à demander</t>
  </si>
  <si>
    <t>Réf. Preuve
obtenue</t>
  </si>
  <si>
    <t>C</t>
  </si>
  <si>
    <t>NC</t>
  </si>
  <si>
    <t>N/A</t>
  </si>
  <si>
    <t>STATUT
(Auto)</t>
  </si>
  <si>
    <t>Observation / Constat de l'auditeur</t>
  </si>
  <si>
    <t>Action requise
(si NC)</t>
  </si>
  <si>
    <t>SECTION 1 — MANAGEMENT &amp; PILOTAGE (PM1 — §4/5/6)</t>
  </si>
  <si>
    <t>S1</t>
  </si>
  <si>
    <t>§5.2</t>
  </si>
  <si>
    <t>La politique qualité SMQ-POL-001 est-elle documentée, signée par Sami Tabbane et connue de tout le personnel ?</t>
  </si>
  <si>
    <t>Afficher SMQ-POL-001. Demander à 2 collaborateurs de citer un engagement qualité.</t>
  </si>
  <si>
    <t>§6.1</t>
  </si>
  <si>
    <t>Les risques et opportunités sont-ils identifiés et font-ils l'objet d'un suivi régulier (AMDEC) ?</t>
  </si>
  <si>
    <t>Registre AMDEC SMQ. Vérifier date de dernière mise à jour (&lt; 6 mois).</t>
  </si>
  <si>
    <t>§6.2</t>
  </si>
  <si>
    <t>Les objectifs qualité SMART sont-ils définis, chiffrés et visibles dans le Dashboard SMQ HTML ?</t>
  </si>
  <si>
    <t>Tableau §6.2.1. Accès direct au Dashboard SMQ HTML — section Objectifs.</t>
  </si>
  <si>
    <t>§9.1</t>
  </si>
  <si>
    <t>Les KPIs processus sont-ils renseignés et analysés mensuellement par les pilotes de processus ?</t>
  </si>
  <si>
    <t>Dashboard SMQ HTML — section §9.1. Demander captures d'écran ou accès live.</t>
  </si>
  <si>
    <t>§5.3</t>
  </si>
  <si>
    <t>Les rôles, responsabilités et autorités sont-ils formalisés et cohérents avec l'organigramme ?</t>
  </si>
  <si>
    <t>Fiches de poste SMQ-FP-XXX. Organigramme SFM signé. Vérifier cohérence effectif réel.</t>
  </si>
  <si>
    <t>§4.3</t>
  </si>
  <si>
    <t>Le domaine d'application du SMQ est-il documenté et couvre-t-il les 3 BU et le support ?</t>
  </si>
  <si>
    <t>SMQ-MAN-001 — Section domaine d'application. Vérifier qu'aucun processus actif n'en est exclu.</t>
  </si>
  <si>
    <t>SECTION 2 — BU TELCO / CONSEIL &amp; INGÉNIERIE 5G/RAN (PR1 — §8)</t>
  </si>
  <si>
    <t>S2</t>
  </si>
  <si>
    <t>§8.1</t>
  </si>
  <si>
    <t>La planification des prestations Telco (projets 5G/RAN, ingénierie réseau) est-elle formalisée par SMQ-PRO-PR1 ?</t>
  </si>
  <si>
    <t>Procédure SMQ-PRO-PR1. Vérifier qu'un projet 5G récent (&lt; 3 mois) suit le processus documenté.</t>
  </si>
  <si>
    <t>§8.2</t>
  </si>
  <si>
    <t>Le recueil des exigences client est-il réalisé et documenté avant tout démarrage de projet 5G/RAN ?</t>
  </si>
  <si>
    <t>Formulaire de recueil des exigences. Exemple concret : fiche exigences projet 5G actif.</t>
  </si>
  <si>
    <t>La revue de contrat est-elle effectuée, documentée et signée avant toute signature client ?</t>
  </si>
  <si>
    <t>PV de revue de contrat signé. Dossier client complet. Vérifier le dernier contrat Telco signé.</t>
  </si>
  <si>
    <t>§8.4</t>
  </si>
  <si>
    <t>Les prestataires Telco (sous-traitants réseau, équipementiers) sont-ils évalués et sur la liste approuvée ?</t>
  </si>
  <si>
    <t>Liste fournisseurs approuvés SMQ. Grille d'évaluation renseignée pour chaque fournisseur actif Telco.</t>
  </si>
  <si>
    <t>§8.5</t>
  </si>
  <si>
    <t>La réalisation et le suivi des prestations Telco sont-ils tracés avec indicateurs de performance ?</t>
  </si>
  <si>
    <t>Tableau de bord projet. KPIs délais/qualité. Rapport de suivi mensuel dernière prestation.</t>
  </si>
  <si>
    <t>§8.6</t>
  </si>
  <si>
    <t>La libération des livrables Telco fait-elle l'objet d'une fiche de libération §8.6 signée par Erij Sioud ?</t>
  </si>
  <si>
    <t>Fiche de libération SMQ. Montrez-moi le PV de recette technique du dernier projet Telco livré.</t>
  </si>
  <si>
    <t>§8.7</t>
  </si>
  <si>
    <t>Les non-conformités Telco (erreurs config réseau, dépassements délai) sont-elles dans le registre NC ?</t>
  </si>
  <si>
    <t>Registre NC SMQ-FOR-NC-001. Vérifier: NC ouverte → plan d'action → date clôture. Checker 3 NC récentes.</t>
  </si>
  <si>
    <t>PS3</t>
  </si>
  <si>
    <t>La sécurité des infrastructures réseau (accès VPN, sauvegardes, logs) est-elle documentée et contrôlée ?</t>
  </si>
  <si>
    <t>Politique sécurité IT. Log d'accès admin. PV dernier test sauvegarde. Entretien Lahaou Kone / Heni Guirat.</t>
  </si>
  <si>
    <t>SECTION 3 — BU DIGITAL / TRANSFORMATION &amp; SaaS (PR2 — §8)</t>
  </si>
  <si>
    <t>S3</t>
  </si>
  <si>
    <t>La procédure SMQ-PRO-PR2 couvre-t-elle l'ensemble des projets de transformation digitale et SaaS actifs ?</t>
  </si>
  <si>
    <t>SMQ-PRO-PR2. Liste des projets SaaS actifs. Vérifier qu'un projet cloud récent y est tracé.</t>
  </si>
  <si>
    <t>Les exigences RGPD et protection des données clients sont-elles intégrées dans la revue de contrat ?</t>
  </si>
  <si>
    <t>Clauses RGPD dans les contrats clients. Procédure SI SMQ. Entretien Rim Selmi sur les derniers projets.</t>
  </si>
  <si>
    <t>§8.3</t>
  </si>
  <si>
    <t>La conception de nouveaux services digitaux (apps, plateformes SaaS) suit-elle un processus documenté ?</t>
  </si>
  <si>
    <t>Procédure conception §8.3. Dossier de conception d'un service SaaS livré. Revues de jalons signées.</t>
  </si>
  <si>
    <t>Les solutions SaaS sous-traitées (AWS, Azure, éditeurs) sont-elles évaluées avec SLA vérifiés ?</t>
  </si>
  <si>
    <t>Évaluation fournisseurs SaaS. SLA contractuels. Score conformité. Entretien Maroua Salhi (IA &amp; Data).</t>
  </si>
  <si>
    <t>Le suivi des prestations digitales inclut-il des KPIs de performance (délais livraison, bugs, satisfaction) ?</t>
  </si>
  <si>
    <t>Tableaux de bord projet. KPIs reportés dans le Dashboard SMQ. Rapport de suivi mensuel digital.</t>
  </si>
  <si>
    <t>Les réclamations clients digitaux (bugs SaaS, délais dépassés) sont-elles traitées selon §8.7 ?</t>
  </si>
  <si>
    <t>Registre des réclamations. Délai moyen traitement. Montrez-moi 2 réclamations SaaS récentes clôturées.</t>
  </si>
  <si>
    <t>SECTION 4 — BU FORMATION — INGÉNIERIE PÉDAGOGIQUE (PR3 — §8)</t>
  </si>
  <si>
    <t>S4</t>
  </si>
  <si>
    <t>Les formations dispensées (IT, management, certifications) sont-elles planifiées avec objectifs pédagogiques documentés ?</t>
  </si>
  <si>
    <t>Programme de formation. Fiches pédagogiques. Vérifier qu'une formation récente a un plan complet.</t>
  </si>
  <si>
    <t>Les besoins clients en formation sont-ils recueillis formellement avant tout démarrage de session ?</t>
  </si>
  <si>
    <t>Formulaire recueil besoins client formation. Dossier d'une formation réalisée &lt; 3 mois.</t>
  </si>
  <si>
    <t>La réalisation des formations est-elle tracée (présences signées, évaluations, supports versionnés) ?</t>
  </si>
  <si>
    <t>Feuilles de présence signées. Évaluations à chaud. Support de formation avec numéro de version.</t>
  </si>
  <si>
    <t>§7.2</t>
  </si>
  <si>
    <t>Les compétences des formateurs sont-elles documentées et leurs habilitations à jour (Monia Saidi / Eya Najai) ?</t>
  </si>
  <si>
    <t>Fiches de poste formateurs. Registre habilitations SMQ. CV et certifications de chaque formateur actif.</t>
  </si>
  <si>
    <t>La satisfaction client post-formation est-elle mesurée, archivée et exploitée pour amélioration ?</t>
  </si>
  <si>
    <t>Questionnaire satisfaction. Taux cible ≥ 85%. Actions correctives si en dessous. Historique 12 mois.</t>
  </si>
  <si>
    <t>Les réclamations sur les formations (annulations, mauvaise qualité) sont-elles traitées et tracées ?</t>
  </si>
  <si>
    <t>Registre NC formation. Montrez-moi le traitement d'une réclamation client formation récente.</t>
  </si>
  <si>
    <t>SECTION 5 — SUPPORT : RH &amp; COMPÉTENCES (PS1 — §7)</t>
  </si>
  <si>
    <t>S5</t>
  </si>
  <si>
    <t>§7.1.2</t>
  </si>
  <si>
    <t>L'effectif est-il suffisant et les recrutements documentés avec critères de sélection (Dorsaf El Ghoul) ?</t>
  </si>
  <si>
    <t>Plan RH. Dossiers recrutement récents. Cohérence avec organigramme SFM. Vérifier 3 profils.</t>
  </si>
  <si>
    <t>La matrice des compétences couvre-t-elle tous les postes critiques (PR1/PR2/PS3) avec niveaux définis ?</t>
  </si>
  <si>
    <t>Matrice des compétences SMQ. Vérifier couverture PR1 (5G), PR2 (Cloud/SaaS), PS3 (Cybersécurité).</t>
  </si>
  <si>
    <t>§7.3</t>
  </si>
  <si>
    <t>Le personnel est-il sensibilisé à la politique qualité et conscient de son rôle dans le SMQ ?</t>
  </si>
  <si>
    <t>PV de réunion sensibilisation qualité. Interroger 3 collaborateurs aléatoirement. Quiz ou attestation.</t>
  </si>
  <si>
    <t>Le plan de formation annuel est-il établi, budgété et son taux de réalisation suivi ?</t>
  </si>
  <si>
    <t>Plan de formation 2026. Taux de réalisation (cible ≥ 80%). Formations planifiées vs réalisées.</t>
  </si>
  <si>
    <t>§7.5</t>
  </si>
  <si>
    <t>Les fiches de poste sont-elles disponibles pour tous les collaborateurs, signées et à jour ?</t>
  </si>
  <si>
    <t>Fiches de poste de 3 collaborateurs au hasard. Vérifier signature, date validation, cohérence réelle.</t>
  </si>
  <si>
    <t>SECTION 6 — SUPPORT : GESTION DOCUMENTAIRE SMQ (PS2 — §7.5)</t>
  </si>
  <si>
    <t>S6</t>
  </si>
  <si>
    <t>§7.5.2</t>
  </si>
  <si>
    <t>Les documents SMQ sont-ils créés, identifiés et approuvés selon la procédure documentaire SMQ-PRO-001 ?</t>
  </si>
  <si>
    <t>SMQ-PRO-001. Vérifier 3 documents récents : référence normalisée, version, statut, approbateur.</t>
  </si>
  <si>
    <t>§7.5.3</t>
  </si>
  <si>
    <t>Les documents obsolètes sont-ils identifiés comme tels et retirés de la diffusion active ?</t>
  </si>
  <si>
    <t>La maîtrise des enregistrements qualité (durées de conservation, lieu d'archivage) est-elle respectée ?</t>
  </si>
  <si>
    <t>Tableau des enregistrements SMQ. Vérifier 5 enregistrements : conservation, accès, intégrité.</t>
  </si>
  <si>
    <t>SECTION 7 — SUPPORT : INFRASTRUCTURE IT &amp; SÉCURITÉ (PS3 — §7.1.3)</t>
  </si>
  <si>
    <t>S7</t>
  </si>
  <si>
    <t>§7.1.3</t>
  </si>
  <si>
    <t>L'infrastructure IT (serveurs, cloud, réseaux) est-elle inventoriée, maintenue et documentée ?</t>
  </si>
  <si>
    <t>Inventaire IT SMQ. Plan de maintenance. Dernier PV de maintenance serveurs. Entretien Lahaou Kone.</t>
  </si>
  <si>
    <t>Les sauvegardes des données critiques sont-elles réalisées, testées et documentées régulièrement ?</t>
  </si>
  <si>
    <t>PV tests de restauration (fréquence mensuelle cible). Log de sauvegarde. Plan de reprise activité.</t>
  </si>
  <si>
    <t>La sécurité des accès (VPN, mots de passe, habilitations IT) est-elle maîtrisée et à jour ?</t>
  </si>
  <si>
    <t>Registre des habilitations IT. Politique sécurité. Entretien Heni Guirat (Sécurité) / Fedi Rejeb (Réseau).</t>
  </si>
  <si>
    <t>Les incidents cybersécurité sont-ils tracés, analysés et font-ils l'objet d'actions correctives ?</t>
  </si>
  <si>
    <t>Registre des incidents IT. Montrez-moi le traitement d'un incident cybersécurité récent clôturé.</t>
  </si>
  <si>
    <t>SECTION 8 — SUPPORT : FINANCE &amp; ADMINISTRATION (PS4 — §7.1.4/7.1.5)</t>
  </si>
  <si>
    <t>S8</t>
  </si>
  <si>
    <t>§7.1.4</t>
  </si>
  <si>
    <t>Le budget SMQ est-il alloué, suivi et son utilisation documentée (Houssem Dridi) ?</t>
  </si>
  <si>
    <t>Budget SMQ 2026. Tableau de suivi des dépenses qualité. Vérifier cohérence avec plan d'actions SMQ.</t>
  </si>
  <si>
    <t>§7.1.5</t>
  </si>
  <si>
    <t>L'environnement de travail (conditions bureautique, hygiène, sécurité) est-il maîtrisé et conforme ?</t>
  </si>
  <si>
    <t>Registre des contrôles environnement. Entretien Chadliya Agougui (Hygiène) / Walid Ben Abdallah (Sécurité).</t>
  </si>
  <si>
    <t>TABLEAU DE SYNTHÈSE — RÉSULTATS GLOBAUX DE L'AUDIT</t>
  </si>
  <si>
    <t>Section / Processus</t>
  </si>
  <si>
    <t>Nb Questions</t>
  </si>
  <si>
    <t>Conformes (C)</t>
  </si>
  <si>
    <t>Non-Conformes (NC)</t>
  </si>
  <si>
    <t>Non Applicables (N/A)</t>
  </si>
  <si>
    <t>Taux Conformité</t>
  </si>
  <si>
    <t>PM1 — Management &amp; Pilotage</t>
  </si>
  <si>
    <t>PR1 — BU Telco / 5G/RAN</t>
  </si>
  <si>
    <t>PR2 — BU Digital / SaaS</t>
  </si>
  <si>
    <t>PR3 — BU Formation</t>
  </si>
  <si>
    <t>PS1 — RH &amp; Compétences</t>
  </si>
  <si>
    <t>PS2 — Gestion Documentaire</t>
  </si>
  <si>
    <t>PS3 — IT &amp; Sécurité</t>
  </si>
  <si>
    <t>PS4 — Finance &amp; Admin.</t>
  </si>
  <si>
    <t>TOTAL GÉNÉRAL</t>
  </si>
  <si>
    <t>SIGNATURES DE CLÔTURE D'AUDIT</t>
  </si>
  <si>
    <t>AUDITEUR</t>
  </si>
  <si>
    <t>PMO-QUALITÉ</t>
  </si>
  <si>
    <t>DIRECTEUR GÉNÉRAL</t>
  </si>
  <si>
    <t>Nom : ___________________
Signature : _________________
Date : ___/___/______</t>
  </si>
  <si>
    <t>Manel Idoudi
Signature : _________________
Date : ___/___/______</t>
  </si>
  <si>
    <t>Sami Tabbane
Signature : _________________
Date : ___/___/______</t>
  </si>
  <si>
    <t>DRIVE / Dashboard SMQ HTML. Vérifier qu'aucun document 'En rédaction' n'est utilisé comme référence.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</si>
</sst>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1B3A6B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1B3A6B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color rgb="FF375623"/>
      <name val="Arial"/>
      <family val="2"/>
    </font>
    <font>
      <b/>
      <sz val="10"/>
      <color rgb="FFC00000"/>
      <name val="Arial"/>
      <family val="2"/>
    </font>
    <font>
      <b/>
      <sz val="10"/>
      <color rgb="FF595959"/>
      <name val="Arial"/>
      <family val="2"/>
    </font>
    <font>
      <b/>
      <sz val="12"/>
      <color rgb="FFFFFFFF"/>
      <name val="Arial"/>
      <family val="2"/>
    </font>
    <font>
      <i/>
      <sz val="9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1F5C8B"/>
      </patternFill>
    </fill>
    <fill>
      <patternFill patternType="solid">
        <fgColor rgb="FF2E5FA3"/>
        <bgColor rgb="FF1F5C8B"/>
      </patternFill>
    </fill>
    <fill>
      <patternFill patternType="solid">
        <fgColor rgb="FFC55A11"/>
        <bgColor rgb="FF7F3F00"/>
      </patternFill>
    </fill>
    <fill>
      <patternFill patternType="solid">
        <fgColor rgb="FFD9E2F0"/>
        <bgColor rgb="FFE2EFDA"/>
      </patternFill>
    </fill>
    <fill>
      <patternFill patternType="solid">
        <fgColor rgb="FFFFFFFF"/>
        <bgColor rgb="FFF2F5FA"/>
      </patternFill>
    </fill>
    <fill>
      <patternFill patternType="solid">
        <fgColor rgb="FFF2F5FA"/>
        <bgColor rgb="FFFFFFFF"/>
      </patternFill>
    </fill>
    <fill>
      <patternFill patternType="solid">
        <fgColor rgb="FF1F5C8B"/>
        <bgColor rgb="FF2E5FA3"/>
      </patternFill>
    </fill>
    <fill>
      <patternFill patternType="solid">
        <fgColor rgb="FF1B6B5A"/>
        <bgColor rgb="FF1F5C8B"/>
      </patternFill>
    </fill>
    <fill>
      <patternFill patternType="solid">
        <fgColor rgb="FF5B3A8B"/>
        <bgColor rgb="FF595959"/>
      </patternFill>
    </fill>
    <fill>
      <patternFill patternType="solid">
        <fgColor rgb="FF7F3F00"/>
        <bgColor rgb="FF993366"/>
      </patternFill>
    </fill>
    <fill>
      <patternFill patternType="solid">
        <fgColor rgb="FF2D4A1E"/>
        <bgColor rgb="FF375623"/>
      </patternFill>
    </fill>
    <fill>
      <patternFill patternType="solid">
        <fgColor rgb="FF375623"/>
        <bgColor rgb="FF2D4A1E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375623"/>
      </patternFill>
    </fill>
    <fill>
      <patternFill patternType="solid">
        <fgColor theme="0"/>
        <bgColor rgb="FF1F5C8B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0" fillId="6" borderId="2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left" vertical="center" wrapText="1"/>
    </xf>
    <xf numFmtId="0" fontId="0" fillId="6" borderId="2" xfId="0" applyFont="1" applyFill="1" applyBorder="1" applyAlignment="1">
      <alignment horizontal="left" vertical="center" wrapText="1"/>
    </xf>
    <xf numFmtId="0" fontId="0" fillId="4" borderId="0" xfId="0" applyFill="1" applyBorder="1"/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3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0" fontId="5" fillId="9" borderId="3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left" vertical="center"/>
    </xf>
    <xf numFmtId="0" fontId="5" fillId="1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11" fillId="1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7F3F00"/>
        <name val="Arial"/>
        <charset val="1"/>
      </font>
      <fill>
        <patternFill>
          <bgColor rgb="FFFFF2CC"/>
        </patternFill>
      </fill>
    </dxf>
    <dxf>
      <font>
        <color rgb="FF595959"/>
        <name val="Arial"/>
        <charset val="1"/>
      </font>
      <fill>
        <patternFill>
          <bgColor rgb="FFF2F5FA"/>
        </patternFill>
      </fill>
    </dxf>
    <dxf>
      <font>
        <b/>
        <color rgb="FFC00000"/>
        <name val="Arial"/>
        <charset val="1"/>
      </font>
      <fill>
        <patternFill>
          <bgColor rgb="FFFFD7D7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6B5A"/>
      <rgbColor rgb="FFC0C0C0"/>
      <rgbColor rgb="FF888888"/>
      <rgbColor rgb="FF9999FF"/>
      <rgbColor rgb="FF993366"/>
      <rgbColor rgb="FFFFF2CC"/>
      <rgbColor rgb="FFF2F5FA"/>
      <rgbColor rgb="FF660066"/>
      <rgbColor rgb="FFFF8080"/>
      <rgbColor rgb="FF1F5C8B"/>
      <rgbColor rgb="FFD9E2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7D7"/>
      <rgbColor rgb="FF2E5FA3"/>
      <rgbColor rgb="FF33CCCC"/>
      <rgbColor rgb="FF99CC00"/>
      <rgbColor rgb="FFFFCC00"/>
      <rgbColor rgb="FFFF9900"/>
      <rgbColor rgb="FFC55A11"/>
      <rgbColor rgb="FF595959"/>
      <rgbColor rgb="FFAAAAAA"/>
      <rgbColor rgb="FF1B3A6B"/>
      <rgbColor rgb="FF339966"/>
      <rgbColor rgb="FF003300"/>
      <rgbColor rgb="FF375623"/>
      <rgbColor rgb="FF7F3F00"/>
      <rgbColor rgb="FF993366"/>
      <rgbColor rgb="FF5B3A8B"/>
      <rgbColor rgb="FF2D4A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zoomScaleNormal="100" workbookViewId="0">
      <selection sqref="A1:J1"/>
    </sheetView>
  </sheetViews>
  <sheetFormatPr baseColWidth="10" defaultColWidth="8.6640625" defaultRowHeight="14.4" x14ac:dyDescent="0.3"/>
  <cols>
    <col min="1" max="1" width="30" customWidth="1"/>
    <col min="2" max="10" width="16" customWidth="1"/>
  </cols>
  <sheetData>
    <row r="1" spans="1:10" ht="7.5" customHeigh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3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8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ht="18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ht="15.75" customHeight="1" x14ac:dyDescent="0.3">
      <c r="A5" s="12" t="s">
        <v>1</v>
      </c>
      <c r="B5" s="12"/>
      <c r="C5" s="12"/>
      <c r="D5" s="12"/>
      <c r="E5" s="12"/>
      <c r="F5" s="12"/>
      <c r="G5" s="12"/>
      <c r="H5" s="12"/>
      <c r="I5" s="12"/>
      <c r="J5" s="12"/>
    </row>
    <row r="6" spans="1:10" ht="15.75" customHeight="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ht="4.5" customHeight="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 ht="6" customHeight="1" x14ac:dyDescent="0.3"/>
    <row r="9" spans="1:10" ht="19.5" customHeight="1" x14ac:dyDescent="0.3">
      <c r="A9" s="15" t="s">
        <v>2</v>
      </c>
      <c r="B9" s="10" t="s">
        <v>3</v>
      </c>
      <c r="C9" s="10"/>
      <c r="D9" s="10"/>
      <c r="E9" s="10"/>
      <c r="F9" s="10"/>
      <c r="G9" s="10"/>
      <c r="H9" s="10"/>
      <c r="I9" s="10"/>
      <c r="J9" s="10"/>
    </row>
    <row r="10" spans="1:10" ht="19.5" customHeight="1" x14ac:dyDescent="0.3">
      <c r="A10" s="15" t="s">
        <v>4</v>
      </c>
      <c r="B10" s="9" t="s">
        <v>5</v>
      </c>
      <c r="C10" s="9"/>
      <c r="D10" s="9"/>
      <c r="E10" s="9"/>
      <c r="F10" s="9"/>
      <c r="G10" s="9"/>
      <c r="H10" s="9"/>
      <c r="I10" s="9"/>
      <c r="J10" s="9"/>
    </row>
    <row r="11" spans="1:10" ht="19.5" customHeight="1" x14ac:dyDescent="0.3">
      <c r="A11" s="15" t="s">
        <v>6</v>
      </c>
      <c r="B11" s="10" t="s">
        <v>7</v>
      </c>
      <c r="C11" s="10"/>
      <c r="D11" s="10"/>
      <c r="E11" s="10"/>
      <c r="F11" s="10"/>
      <c r="G11" s="10"/>
      <c r="H11" s="10"/>
      <c r="I11" s="10"/>
      <c r="J11" s="10"/>
    </row>
    <row r="12" spans="1:10" ht="19.5" customHeight="1" x14ac:dyDescent="0.3">
      <c r="A12" s="15" t="s">
        <v>8</v>
      </c>
      <c r="B12" s="9" t="s">
        <v>9</v>
      </c>
      <c r="C12" s="9"/>
      <c r="D12" s="9"/>
      <c r="E12" s="9"/>
      <c r="F12" s="9"/>
      <c r="G12" s="9"/>
      <c r="H12" s="9"/>
      <c r="I12" s="9"/>
      <c r="J12" s="9"/>
    </row>
    <row r="13" spans="1:10" ht="19.5" customHeight="1" x14ac:dyDescent="0.3">
      <c r="A13" s="15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</row>
    <row r="14" spans="1:10" ht="19.5" customHeight="1" x14ac:dyDescent="0.3">
      <c r="A14" s="15" t="s">
        <v>12</v>
      </c>
      <c r="B14" s="9" t="s">
        <v>13</v>
      </c>
      <c r="C14" s="9"/>
      <c r="D14" s="9"/>
      <c r="E14" s="9"/>
      <c r="F14" s="9"/>
      <c r="G14" s="9"/>
      <c r="H14" s="9"/>
      <c r="I14" s="9"/>
      <c r="J14" s="9"/>
    </row>
    <row r="15" spans="1:10" ht="19.5" customHeight="1" x14ac:dyDescent="0.3">
      <c r="A15" s="15" t="s">
        <v>14</v>
      </c>
      <c r="B15" s="10" t="s">
        <v>15</v>
      </c>
      <c r="C15" s="10"/>
      <c r="D15" s="10"/>
      <c r="E15" s="10"/>
      <c r="F15" s="10"/>
      <c r="G15" s="10"/>
      <c r="H15" s="10"/>
      <c r="I15" s="10"/>
      <c r="J15" s="10"/>
    </row>
    <row r="16" spans="1:10" ht="19.5" customHeight="1" x14ac:dyDescent="0.3">
      <c r="A16" s="15" t="s">
        <v>16</v>
      </c>
      <c r="B16" s="9" t="s">
        <v>17</v>
      </c>
      <c r="C16" s="9"/>
      <c r="D16" s="9"/>
      <c r="E16" s="9"/>
      <c r="F16" s="9"/>
      <c r="G16" s="9"/>
      <c r="H16" s="9"/>
      <c r="I16" s="9"/>
      <c r="J16" s="9"/>
    </row>
    <row r="17" spans="1:10" ht="19.5" customHeight="1" x14ac:dyDescent="0.3">
      <c r="A17" s="15" t="s">
        <v>18</v>
      </c>
      <c r="B17" s="10" t="s">
        <v>19</v>
      </c>
      <c r="C17" s="10"/>
      <c r="D17" s="10"/>
      <c r="E17" s="10"/>
      <c r="F17" s="10"/>
      <c r="G17" s="10"/>
      <c r="H17" s="10"/>
      <c r="I17" s="10"/>
      <c r="J17" s="10"/>
    </row>
    <row r="18" spans="1:10" ht="19.5" customHeight="1" x14ac:dyDescent="0.3">
      <c r="A18" s="15" t="s">
        <v>20</v>
      </c>
      <c r="B18" s="9" t="s">
        <v>21</v>
      </c>
      <c r="C18" s="9"/>
      <c r="D18" s="9"/>
      <c r="E18" s="9"/>
      <c r="F18" s="9"/>
      <c r="G18" s="9"/>
      <c r="H18" s="9"/>
      <c r="I18" s="9"/>
      <c r="J18" s="9"/>
    </row>
    <row r="21" spans="1:10" ht="19.5" customHeight="1" x14ac:dyDescent="0.3">
      <c r="A21" s="8" t="s">
        <v>22</v>
      </c>
      <c r="B21" s="8"/>
      <c r="C21" s="8"/>
      <c r="D21" s="8"/>
      <c r="E21" s="8"/>
      <c r="F21" s="8"/>
      <c r="G21" s="8"/>
      <c r="H21" s="8"/>
      <c r="I21" s="8"/>
      <c r="J21" s="8"/>
    </row>
    <row r="22" spans="1:10" ht="18" customHeight="1" x14ac:dyDescent="0.3">
      <c r="A22" s="7" t="s">
        <v>23</v>
      </c>
      <c r="B22" s="7"/>
      <c r="C22" s="7"/>
      <c r="D22" s="7" t="s">
        <v>24</v>
      </c>
      <c r="E22" s="7"/>
      <c r="F22" s="7"/>
      <c r="G22" s="7"/>
      <c r="H22" s="7" t="s">
        <v>25</v>
      </c>
      <c r="I22" s="7"/>
      <c r="J22" s="7"/>
    </row>
    <row r="23" spans="1:10" ht="18" customHeight="1" x14ac:dyDescent="0.3">
      <c r="A23" s="9" t="s">
        <v>15</v>
      </c>
      <c r="B23" s="9"/>
      <c r="C23" s="9"/>
      <c r="D23" s="9" t="s">
        <v>15</v>
      </c>
      <c r="E23" s="9"/>
      <c r="F23" s="9"/>
      <c r="G23" s="9"/>
      <c r="H23" s="6" t="s">
        <v>17</v>
      </c>
      <c r="I23" s="6"/>
      <c r="J23" s="6"/>
    </row>
    <row r="24" spans="1:10" ht="18" customHeight="1" x14ac:dyDescent="0.3">
      <c r="A24" s="5" t="s">
        <v>26</v>
      </c>
      <c r="B24" s="5"/>
      <c r="C24" s="5"/>
      <c r="D24" s="5" t="s">
        <v>26</v>
      </c>
      <c r="E24" s="5"/>
      <c r="F24" s="5"/>
      <c r="G24" s="5"/>
      <c r="H24" s="5" t="s">
        <v>26</v>
      </c>
      <c r="I24" s="5"/>
      <c r="J24" s="5"/>
    </row>
    <row r="25" spans="1:10" ht="18" customHeight="1" x14ac:dyDescent="0.3">
      <c r="A25" s="5" t="s">
        <v>27</v>
      </c>
      <c r="B25" s="5"/>
      <c r="C25" s="5"/>
      <c r="D25" s="5" t="s">
        <v>27</v>
      </c>
      <c r="E25" s="5"/>
      <c r="F25" s="5"/>
      <c r="G25" s="5"/>
      <c r="H25" s="5" t="s">
        <v>27</v>
      </c>
      <c r="I25" s="5"/>
      <c r="J25" s="5"/>
    </row>
    <row r="27" spans="1:10" ht="15.75" customHeight="1" x14ac:dyDescent="0.3">
      <c r="A27" s="4" t="s">
        <v>28</v>
      </c>
      <c r="B27" s="4"/>
      <c r="C27" s="4"/>
      <c r="D27" s="4"/>
      <c r="E27" s="4"/>
      <c r="F27" s="4"/>
      <c r="G27" s="4"/>
      <c r="H27" s="4"/>
      <c r="I27" s="4"/>
      <c r="J27" s="4"/>
    </row>
  </sheetData>
  <mergeCells count="28">
    <mergeCell ref="A27:J27"/>
    <mergeCell ref="A24:C24"/>
    <mergeCell ref="D24:G24"/>
    <mergeCell ref="H24:J24"/>
    <mergeCell ref="A25:C25"/>
    <mergeCell ref="D25:G25"/>
    <mergeCell ref="H25:J25"/>
    <mergeCell ref="A22:C22"/>
    <mergeCell ref="D22:G22"/>
    <mergeCell ref="H22:J22"/>
    <mergeCell ref="A23:C23"/>
    <mergeCell ref="D23:G23"/>
    <mergeCell ref="H23:J23"/>
    <mergeCell ref="B15:J15"/>
    <mergeCell ref="B16:J16"/>
    <mergeCell ref="B17:J17"/>
    <mergeCell ref="B18:J18"/>
    <mergeCell ref="A21:J21"/>
    <mergeCell ref="B10:J10"/>
    <mergeCell ref="B11:J11"/>
    <mergeCell ref="B12:J12"/>
    <mergeCell ref="B13:J13"/>
    <mergeCell ref="B14:J14"/>
    <mergeCell ref="A1:J1"/>
    <mergeCell ref="A2:J4"/>
    <mergeCell ref="A5:J6"/>
    <mergeCell ref="A7:J7"/>
    <mergeCell ref="B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80"/>
  <sheetViews>
    <sheetView showGridLines="0" tabSelected="1" zoomScaleNormal="100" workbookViewId="0">
      <pane ySplit="7" topLeftCell="A175" activePane="bottomLeft" state="frozen"/>
      <selection pane="bottomLeft" activeCell="E51" sqref="E51"/>
    </sheetView>
  </sheetViews>
  <sheetFormatPr baseColWidth="10" defaultColWidth="8.6640625" defaultRowHeight="14.4" x14ac:dyDescent="0.3"/>
  <cols>
    <col min="1" max="1" width="5" customWidth="1"/>
    <col min="2" max="2" width="16" customWidth="1"/>
    <col min="3" max="3" width="8" customWidth="1"/>
    <col min="4" max="4" width="42" customWidth="1"/>
    <col min="5" max="5" width="32" customWidth="1"/>
    <col min="6" max="6" width="16" customWidth="1"/>
    <col min="7" max="7" width="5" customWidth="1"/>
    <col min="8" max="8" width="5.109375" customWidth="1"/>
    <col min="9" max="9" width="5" customWidth="1"/>
    <col min="10" max="10" width="12" customWidth="1"/>
    <col min="11" max="11" width="28" customWidth="1"/>
    <col min="12" max="12" width="22" customWidth="1"/>
  </cols>
  <sheetData>
    <row r="1" spans="1:12" ht="6" customHeigh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customHeight="1" x14ac:dyDescent="0.3">
      <c r="A2" s="3" t="s">
        <v>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2.75" customHeight="1" x14ac:dyDescent="0.3">
      <c r="A4" s="2" t="s">
        <v>30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.7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5.2" customHeight="1" x14ac:dyDescent="0.3">
      <c r="A6" s="62" t="s">
        <v>31</v>
      </c>
      <c r="B6" s="63"/>
      <c r="C6" s="64" t="s">
        <v>32</v>
      </c>
      <c r="D6" s="65"/>
      <c r="E6" s="16" t="s">
        <v>33</v>
      </c>
      <c r="F6" s="17" t="s">
        <v>34</v>
      </c>
      <c r="G6" s="62" t="s">
        <v>35</v>
      </c>
      <c r="H6" s="63"/>
      <c r="I6" s="1" t="s">
        <v>36</v>
      </c>
      <c r="J6" s="1"/>
      <c r="K6" s="35" t="s">
        <v>37</v>
      </c>
      <c r="L6" s="35"/>
    </row>
    <row r="7" spans="1:12" ht="27.75" customHeight="1" x14ac:dyDescent="0.3">
      <c r="A7" s="19" t="s">
        <v>38</v>
      </c>
      <c r="B7" s="19" t="s">
        <v>39</v>
      </c>
      <c r="C7" s="19" t="s">
        <v>40</v>
      </c>
      <c r="D7" s="19" t="s">
        <v>41</v>
      </c>
      <c r="E7" s="19" t="s">
        <v>42</v>
      </c>
      <c r="F7" s="19" t="s">
        <v>43</v>
      </c>
      <c r="G7" s="19" t="s">
        <v>44</v>
      </c>
      <c r="H7" s="19" t="s">
        <v>45</v>
      </c>
      <c r="I7" s="19" t="s">
        <v>46</v>
      </c>
      <c r="J7" s="19" t="s">
        <v>47</v>
      </c>
      <c r="K7" s="19" t="s">
        <v>48</v>
      </c>
      <c r="L7" s="19" t="s">
        <v>49</v>
      </c>
    </row>
    <row r="8" spans="1:12" ht="18" customHeight="1" x14ac:dyDescent="0.3">
      <c r="A8" s="36" t="s">
        <v>50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2" ht="37.5" customHeight="1" x14ac:dyDescent="0.3">
      <c r="A9" s="20">
        <v>1</v>
      </c>
      <c r="B9" s="21" t="s">
        <v>51</v>
      </c>
      <c r="C9" s="22" t="s">
        <v>52</v>
      </c>
      <c r="D9" s="18" t="s">
        <v>53</v>
      </c>
      <c r="E9" s="23" t="s">
        <v>54</v>
      </c>
      <c r="F9" s="18"/>
      <c r="G9" s="24"/>
      <c r="H9" s="24"/>
      <c r="I9" s="24"/>
      <c r="J9" s="25" t="str">
        <f t="shared" ref="J9:J14" si="0">IF(G9="C","✔ CONFORME",IF(H9="NC","✘ NON-CONF.",IF(I9="N/A","— N/A","À REMPLIR")))</f>
        <v>À REMPLIR</v>
      </c>
      <c r="K9" s="18"/>
      <c r="L9" s="18"/>
    </row>
    <row r="10" spans="1:12" ht="37.5" customHeight="1" x14ac:dyDescent="0.3">
      <c r="A10" s="26">
        <v>2</v>
      </c>
      <c r="B10" s="27" t="s">
        <v>51</v>
      </c>
      <c r="C10" s="28" t="s">
        <v>55</v>
      </c>
      <c r="D10" s="29" t="s">
        <v>56</v>
      </c>
      <c r="E10" s="30" t="s">
        <v>57</v>
      </c>
      <c r="F10" s="29"/>
      <c r="G10" s="31"/>
      <c r="H10" s="31"/>
      <c r="I10" s="31"/>
      <c r="J10" s="32" t="str">
        <f t="shared" si="0"/>
        <v>À REMPLIR</v>
      </c>
      <c r="K10" s="29"/>
      <c r="L10" s="29"/>
    </row>
    <row r="11" spans="1:12" ht="37.5" customHeight="1" x14ac:dyDescent="0.3">
      <c r="A11" s="20">
        <v>3</v>
      </c>
      <c r="B11" s="21" t="s">
        <v>51</v>
      </c>
      <c r="C11" s="22" t="s">
        <v>58</v>
      </c>
      <c r="D11" s="18" t="s">
        <v>59</v>
      </c>
      <c r="E11" s="23" t="s">
        <v>60</v>
      </c>
      <c r="F11" s="18"/>
      <c r="G11" s="24"/>
      <c r="H11" s="24"/>
      <c r="I11" s="24"/>
      <c r="J11" s="25" t="str">
        <f t="shared" si="0"/>
        <v>À REMPLIR</v>
      </c>
      <c r="K11" s="18"/>
      <c r="L11" s="18"/>
    </row>
    <row r="12" spans="1:12" ht="37.5" customHeight="1" x14ac:dyDescent="0.3">
      <c r="A12" s="26">
        <v>4</v>
      </c>
      <c r="B12" s="27" t="s">
        <v>51</v>
      </c>
      <c r="C12" s="28" t="s">
        <v>61</v>
      </c>
      <c r="D12" s="29" t="s">
        <v>62</v>
      </c>
      <c r="E12" s="30" t="s">
        <v>63</v>
      </c>
      <c r="F12" s="29"/>
      <c r="G12" s="31"/>
      <c r="H12" s="31"/>
      <c r="I12" s="31"/>
      <c r="J12" s="32" t="str">
        <f t="shared" si="0"/>
        <v>À REMPLIR</v>
      </c>
      <c r="K12" s="29"/>
      <c r="L12" s="29"/>
    </row>
    <row r="13" spans="1:12" ht="37.5" customHeight="1" x14ac:dyDescent="0.3">
      <c r="A13" s="20">
        <v>5</v>
      </c>
      <c r="B13" s="21" t="s">
        <v>51</v>
      </c>
      <c r="C13" s="22" t="s">
        <v>64</v>
      </c>
      <c r="D13" s="18" t="s">
        <v>65</v>
      </c>
      <c r="E13" s="23" t="s">
        <v>66</v>
      </c>
      <c r="F13" s="18"/>
      <c r="G13" s="24"/>
      <c r="H13" s="24"/>
      <c r="I13" s="24"/>
      <c r="J13" s="25" t="str">
        <f t="shared" si="0"/>
        <v>À REMPLIR</v>
      </c>
      <c r="K13" s="18"/>
      <c r="L13" s="18"/>
    </row>
    <row r="14" spans="1:12" ht="37.5" customHeight="1" x14ac:dyDescent="0.3">
      <c r="A14" s="26">
        <v>6</v>
      </c>
      <c r="B14" s="27" t="s">
        <v>51</v>
      </c>
      <c r="C14" s="28" t="s">
        <v>67</v>
      </c>
      <c r="D14" s="29" t="s">
        <v>68</v>
      </c>
      <c r="E14" s="30" t="s">
        <v>69</v>
      </c>
      <c r="F14" s="29"/>
      <c r="G14" s="31"/>
      <c r="H14" s="31"/>
      <c r="I14" s="31"/>
      <c r="J14" s="32" t="str">
        <f t="shared" si="0"/>
        <v>À REMPLIR</v>
      </c>
      <c r="K14" s="29"/>
      <c r="L14" s="29"/>
    </row>
    <row r="16" spans="1:12" ht="18" customHeight="1" x14ac:dyDescent="0.3">
      <c r="A16" s="37" t="s">
        <v>70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</row>
    <row r="17" spans="1:12" ht="37.5" customHeight="1" x14ac:dyDescent="0.3">
      <c r="A17" s="20">
        <v>7</v>
      </c>
      <c r="B17" s="21" t="s">
        <v>71</v>
      </c>
      <c r="C17" s="22" t="s">
        <v>72</v>
      </c>
      <c r="D17" s="18" t="s">
        <v>73</v>
      </c>
      <c r="E17" s="23" t="s">
        <v>74</v>
      </c>
      <c r="F17" s="18"/>
      <c r="G17" s="24"/>
      <c r="H17" s="24"/>
      <c r="I17" s="24"/>
      <c r="J17" s="25" t="str">
        <f t="shared" ref="J17:J24" si="1">IF(G17="C","✔ CONFORME",IF(H17="NC","✘ NON-CONF.",IF(I17="N/A","— N/A","À REMPLIR")))</f>
        <v>À REMPLIR</v>
      </c>
      <c r="K17" s="18"/>
      <c r="L17" s="18"/>
    </row>
    <row r="18" spans="1:12" ht="37.5" customHeight="1" x14ac:dyDescent="0.3">
      <c r="A18" s="26">
        <v>8</v>
      </c>
      <c r="B18" s="27" t="s">
        <v>71</v>
      </c>
      <c r="C18" s="28" t="s">
        <v>75</v>
      </c>
      <c r="D18" s="29" t="s">
        <v>76</v>
      </c>
      <c r="E18" s="30" t="s">
        <v>77</v>
      </c>
      <c r="F18" s="29"/>
      <c r="G18" s="31"/>
      <c r="H18" s="31"/>
      <c r="I18" s="31"/>
      <c r="J18" s="32" t="str">
        <f t="shared" si="1"/>
        <v>À REMPLIR</v>
      </c>
      <c r="K18" s="29"/>
      <c r="L18" s="29"/>
    </row>
    <row r="19" spans="1:12" ht="37.5" customHeight="1" x14ac:dyDescent="0.3">
      <c r="A19" s="20">
        <v>9</v>
      </c>
      <c r="B19" s="21" t="s">
        <v>71</v>
      </c>
      <c r="C19" s="22" t="s">
        <v>75</v>
      </c>
      <c r="D19" s="18" t="s">
        <v>78</v>
      </c>
      <c r="E19" s="23" t="s">
        <v>79</v>
      </c>
      <c r="F19" s="18"/>
      <c r="G19" s="24"/>
      <c r="H19" s="24"/>
      <c r="I19" s="24"/>
      <c r="J19" s="25" t="str">
        <f t="shared" si="1"/>
        <v>À REMPLIR</v>
      </c>
      <c r="K19" s="18"/>
      <c r="L19" s="18"/>
    </row>
    <row r="20" spans="1:12" ht="37.5" customHeight="1" x14ac:dyDescent="0.3">
      <c r="A20" s="26">
        <v>10</v>
      </c>
      <c r="B20" s="27" t="s">
        <v>71</v>
      </c>
      <c r="C20" s="28" t="s">
        <v>80</v>
      </c>
      <c r="D20" s="29" t="s">
        <v>81</v>
      </c>
      <c r="E20" s="30" t="s">
        <v>82</v>
      </c>
      <c r="F20" s="29"/>
      <c r="G20" s="31"/>
      <c r="H20" s="31"/>
      <c r="I20" s="31"/>
      <c r="J20" s="32" t="str">
        <f t="shared" si="1"/>
        <v>À REMPLIR</v>
      </c>
      <c r="K20" s="29"/>
      <c r="L20" s="29"/>
    </row>
    <row r="21" spans="1:12" ht="37.5" customHeight="1" x14ac:dyDescent="0.3">
      <c r="A21" s="20">
        <v>11</v>
      </c>
      <c r="B21" s="21" t="s">
        <v>71</v>
      </c>
      <c r="C21" s="22" t="s">
        <v>83</v>
      </c>
      <c r="D21" s="18" t="s">
        <v>84</v>
      </c>
      <c r="E21" s="23" t="s">
        <v>85</v>
      </c>
      <c r="F21" s="18"/>
      <c r="G21" s="24"/>
      <c r="H21" s="24"/>
      <c r="I21" s="24"/>
      <c r="J21" s="25" t="str">
        <f t="shared" si="1"/>
        <v>À REMPLIR</v>
      </c>
      <c r="K21" s="18"/>
      <c r="L21" s="18"/>
    </row>
    <row r="22" spans="1:12" ht="37.5" customHeight="1" x14ac:dyDescent="0.3">
      <c r="A22" s="26">
        <v>12</v>
      </c>
      <c r="B22" s="27" t="s">
        <v>71</v>
      </c>
      <c r="C22" s="28" t="s">
        <v>86</v>
      </c>
      <c r="D22" s="29" t="s">
        <v>87</v>
      </c>
      <c r="E22" s="30" t="s">
        <v>88</v>
      </c>
      <c r="F22" s="29"/>
      <c r="G22" s="31"/>
      <c r="H22" s="31"/>
      <c r="I22" s="31"/>
      <c r="J22" s="32" t="str">
        <f t="shared" si="1"/>
        <v>À REMPLIR</v>
      </c>
      <c r="K22" s="29"/>
      <c r="L22" s="29"/>
    </row>
    <row r="23" spans="1:12" ht="37.5" customHeight="1" x14ac:dyDescent="0.3">
      <c r="A23" s="20">
        <v>13</v>
      </c>
      <c r="B23" s="21" t="s">
        <v>71</v>
      </c>
      <c r="C23" s="22" t="s">
        <v>89</v>
      </c>
      <c r="D23" s="18" t="s">
        <v>90</v>
      </c>
      <c r="E23" s="23" t="s">
        <v>91</v>
      </c>
      <c r="F23" s="18"/>
      <c r="G23" s="24"/>
      <c r="H23" s="24"/>
      <c r="I23" s="24"/>
      <c r="J23" s="25" t="str">
        <f t="shared" si="1"/>
        <v>À REMPLIR</v>
      </c>
      <c r="K23" s="18"/>
      <c r="L23" s="18"/>
    </row>
    <row r="24" spans="1:12" ht="37.5" customHeight="1" x14ac:dyDescent="0.3">
      <c r="A24" s="26">
        <v>14</v>
      </c>
      <c r="B24" s="27" t="s">
        <v>71</v>
      </c>
      <c r="C24" s="28" t="s">
        <v>92</v>
      </c>
      <c r="D24" s="29" t="s">
        <v>93</v>
      </c>
      <c r="E24" s="30" t="s">
        <v>94</v>
      </c>
      <c r="F24" s="29"/>
      <c r="G24" s="31"/>
      <c r="H24" s="31"/>
      <c r="I24" s="31"/>
      <c r="J24" s="32" t="str">
        <f t="shared" si="1"/>
        <v>À REMPLIR</v>
      </c>
      <c r="K24" s="29"/>
      <c r="L24" s="29"/>
    </row>
    <row r="26" spans="1:12" ht="18" customHeight="1" x14ac:dyDescent="0.3">
      <c r="A26" s="38" t="s">
        <v>95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</row>
    <row r="27" spans="1:12" ht="37.5" customHeight="1" x14ac:dyDescent="0.3">
      <c r="A27" s="20">
        <v>15</v>
      </c>
      <c r="B27" s="21" t="s">
        <v>96</v>
      </c>
      <c r="C27" s="22" t="s">
        <v>72</v>
      </c>
      <c r="D27" s="18" t="s">
        <v>97</v>
      </c>
      <c r="E27" s="23" t="s">
        <v>98</v>
      </c>
      <c r="F27" s="18"/>
      <c r="G27" s="24"/>
      <c r="H27" s="24"/>
      <c r="I27" s="24"/>
      <c r="J27" s="25" t="str">
        <f t="shared" ref="J27:J32" si="2">IF(G27="C","✔ CONFORME",IF(H27="NC","✘ NON-CONF.",IF(I27="N/A","— N/A","À REMPLIR")))</f>
        <v>À REMPLIR</v>
      </c>
      <c r="K27" s="18"/>
      <c r="L27" s="18"/>
    </row>
    <row r="28" spans="1:12" ht="37.5" customHeight="1" x14ac:dyDescent="0.3">
      <c r="A28" s="26">
        <v>16</v>
      </c>
      <c r="B28" s="27" t="s">
        <v>96</v>
      </c>
      <c r="C28" s="28" t="s">
        <v>75</v>
      </c>
      <c r="D28" s="29" t="s">
        <v>99</v>
      </c>
      <c r="E28" s="30" t="s">
        <v>100</v>
      </c>
      <c r="F28" s="29"/>
      <c r="G28" s="31"/>
      <c r="H28" s="31"/>
      <c r="I28" s="31"/>
      <c r="J28" s="32" t="str">
        <f t="shared" si="2"/>
        <v>À REMPLIR</v>
      </c>
      <c r="K28" s="29"/>
      <c r="L28" s="29"/>
    </row>
    <row r="29" spans="1:12" ht="37.5" customHeight="1" x14ac:dyDescent="0.3">
      <c r="A29" s="20">
        <v>17</v>
      </c>
      <c r="B29" s="21" t="s">
        <v>96</v>
      </c>
      <c r="C29" s="22" t="s">
        <v>101</v>
      </c>
      <c r="D29" s="18" t="s">
        <v>102</v>
      </c>
      <c r="E29" s="23" t="s">
        <v>103</v>
      </c>
      <c r="F29" s="18"/>
      <c r="G29" s="24"/>
      <c r="H29" s="24"/>
      <c r="I29" s="24"/>
      <c r="J29" s="25" t="str">
        <f t="shared" si="2"/>
        <v>À REMPLIR</v>
      </c>
      <c r="K29" s="18"/>
      <c r="L29" s="18"/>
    </row>
    <row r="30" spans="1:12" ht="37.5" customHeight="1" x14ac:dyDescent="0.3">
      <c r="A30" s="26">
        <v>18</v>
      </c>
      <c r="B30" s="27" t="s">
        <v>96</v>
      </c>
      <c r="C30" s="28" t="s">
        <v>80</v>
      </c>
      <c r="D30" s="29" t="s">
        <v>104</v>
      </c>
      <c r="E30" s="30" t="s">
        <v>105</v>
      </c>
      <c r="F30" s="29"/>
      <c r="G30" s="31"/>
      <c r="H30" s="31"/>
      <c r="I30" s="31"/>
      <c r="J30" s="32" t="str">
        <f t="shared" si="2"/>
        <v>À REMPLIR</v>
      </c>
      <c r="K30" s="29"/>
      <c r="L30" s="29"/>
    </row>
    <row r="31" spans="1:12" ht="37.5" customHeight="1" x14ac:dyDescent="0.3">
      <c r="A31" s="20">
        <v>19</v>
      </c>
      <c r="B31" s="21" t="s">
        <v>96</v>
      </c>
      <c r="C31" s="22" t="s">
        <v>83</v>
      </c>
      <c r="D31" s="18" t="s">
        <v>106</v>
      </c>
      <c r="E31" s="23" t="s">
        <v>107</v>
      </c>
      <c r="F31" s="18"/>
      <c r="G31" s="24"/>
      <c r="H31" s="24"/>
      <c r="I31" s="24"/>
      <c r="J31" s="25" t="str">
        <f t="shared" si="2"/>
        <v>À REMPLIR</v>
      </c>
      <c r="K31" s="18"/>
      <c r="L31" s="18"/>
    </row>
    <row r="32" spans="1:12" ht="37.5" customHeight="1" x14ac:dyDescent="0.3">
      <c r="A32" s="26">
        <v>20</v>
      </c>
      <c r="B32" s="27" t="s">
        <v>96</v>
      </c>
      <c r="C32" s="28" t="s">
        <v>89</v>
      </c>
      <c r="D32" s="29" t="s">
        <v>108</v>
      </c>
      <c r="E32" s="30" t="s">
        <v>109</v>
      </c>
      <c r="F32" s="29"/>
      <c r="G32" s="31"/>
      <c r="H32" s="31"/>
      <c r="I32" s="31"/>
      <c r="J32" s="32" t="str">
        <f t="shared" si="2"/>
        <v>À REMPLIR</v>
      </c>
      <c r="K32" s="29"/>
      <c r="L32" s="29"/>
    </row>
    <row r="34" spans="1:12" ht="18" customHeight="1" x14ac:dyDescent="0.3">
      <c r="A34" s="39" t="s">
        <v>110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 spans="1:12" ht="37.5" customHeight="1" x14ac:dyDescent="0.3">
      <c r="A35" s="20">
        <v>21</v>
      </c>
      <c r="B35" s="21" t="s">
        <v>111</v>
      </c>
      <c r="C35" s="22" t="s">
        <v>72</v>
      </c>
      <c r="D35" s="18" t="s">
        <v>112</v>
      </c>
      <c r="E35" s="23" t="s">
        <v>113</v>
      </c>
      <c r="F35" s="18"/>
      <c r="G35" s="24"/>
      <c r="H35" s="24"/>
      <c r="I35" s="24"/>
      <c r="J35" s="25" t="str">
        <f t="shared" ref="J35:J40" si="3">IF(G35="C","✔ CONFORME",IF(H35="NC","✘ NON-CONF.",IF(I35="N/A","— N/A","À REMPLIR")))</f>
        <v>À REMPLIR</v>
      </c>
      <c r="K35" s="18"/>
      <c r="L35" s="18"/>
    </row>
    <row r="36" spans="1:12" ht="37.5" customHeight="1" x14ac:dyDescent="0.3">
      <c r="A36" s="26">
        <v>22</v>
      </c>
      <c r="B36" s="27" t="s">
        <v>111</v>
      </c>
      <c r="C36" s="28" t="s">
        <v>75</v>
      </c>
      <c r="D36" s="29" t="s">
        <v>114</v>
      </c>
      <c r="E36" s="30" t="s">
        <v>115</v>
      </c>
      <c r="F36" s="29"/>
      <c r="G36" s="31"/>
      <c r="H36" s="31"/>
      <c r="I36" s="31"/>
      <c r="J36" s="32" t="str">
        <f t="shared" si="3"/>
        <v>À REMPLIR</v>
      </c>
      <c r="K36" s="29"/>
      <c r="L36" s="29"/>
    </row>
    <row r="37" spans="1:12" ht="37.5" customHeight="1" x14ac:dyDescent="0.3">
      <c r="A37" s="20">
        <v>23</v>
      </c>
      <c r="B37" s="21" t="s">
        <v>111</v>
      </c>
      <c r="C37" s="22" t="s">
        <v>83</v>
      </c>
      <c r="D37" s="18" t="s">
        <v>116</v>
      </c>
      <c r="E37" s="23" t="s">
        <v>117</v>
      </c>
      <c r="F37" s="18"/>
      <c r="G37" s="24"/>
      <c r="H37" s="24"/>
      <c r="I37" s="24"/>
      <c r="J37" s="25" t="str">
        <f t="shared" si="3"/>
        <v>À REMPLIR</v>
      </c>
      <c r="K37" s="18"/>
      <c r="L37" s="18"/>
    </row>
    <row r="38" spans="1:12" ht="37.5" customHeight="1" x14ac:dyDescent="0.3">
      <c r="A38" s="26">
        <v>24</v>
      </c>
      <c r="B38" s="27" t="s">
        <v>111</v>
      </c>
      <c r="C38" s="28" t="s">
        <v>118</v>
      </c>
      <c r="D38" s="29" t="s">
        <v>119</v>
      </c>
      <c r="E38" s="30" t="s">
        <v>120</v>
      </c>
      <c r="F38" s="29"/>
      <c r="G38" s="31"/>
      <c r="H38" s="31"/>
      <c r="I38" s="31"/>
      <c r="J38" s="32" t="str">
        <f t="shared" si="3"/>
        <v>À REMPLIR</v>
      </c>
      <c r="K38" s="29"/>
      <c r="L38" s="29"/>
    </row>
    <row r="39" spans="1:12" ht="37.5" customHeight="1" x14ac:dyDescent="0.3">
      <c r="A39" s="20">
        <v>25</v>
      </c>
      <c r="B39" s="21" t="s">
        <v>111</v>
      </c>
      <c r="C39" s="22" t="s">
        <v>86</v>
      </c>
      <c r="D39" s="18" t="s">
        <v>121</v>
      </c>
      <c r="E39" s="23" t="s">
        <v>122</v>
      </c>
      <c r="F39" s="18"/>
      <c r="G39" s="24"/>
      <c r="H39" s="24"/>
      <c r="I39" s="24"/>
      <c r="J39" s="25" t="str">
        <f t="shared" si="3"/>
        <v>À REMPLIR</v>
      </c>
      <c r="K39" s="18"/>
      <c r="L39" s="18"/>
    </row>
    <row r="40" spans="1:12" ht="37.5" customHeight="1" x14ac:dyDescent="0.3">
      <c r="A40" s="26">
        <v>26</v>
      </c>
      <c r="B40" s="27" t="s">
        <v>111</v>
      </c>
      <c r="C40" s="28" t="s">
        <v>89</v>
      </c>
      <c r="D40" s="29" t="s">
        <v>123</v>
      </c>
      <c r="E40" s="30" t="s">
        <v>124</v>
      </c>
      <c r="F40" s="29"/>
      <c r="G40" s="31"/>
      <c r="H40" s="31"/>
      <c r="I40" s="31"/>
      <c r="J40" s="32" t="str">
        <f t="shared" si="3"/>
        <v>À REMPLIR</v>
      </c>
      <c r="K40" s="29"/>
      <c r="L40" s="29"/>
    </row>
    <row r="42" spans="1:12" ht="18" customHeight="1" x14ac:dyDescent="0.3">
      <c r="A42" s="40" t="s">
        <v>125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2" ht="37.5" customHeight="1" x14ac:dyDescent="0.3">
      <c r="A43" s="20">
        <v>27</v>
      </c>
      <c r="B43" s="21" t="s">
        <v>126</v>
      </c>
      <c r="C43" s="22" t="s">
        <v>127</v>
      </c>
      <c r="D43" s="18" t="s">
        <v>128</v>
      </c>
      <c r="E43" s="23" t="s">
        <v>129</v>
      </c>
      <c r="F43" s="18"/>
      <c r="G43" s="24"/>
      <c r="H43" s="24"/>
      <c r="I43" s="24"/>
      <c r="J43" s="25" t="str">
        <f>IF(G43="C","✔ CONFORME",IF(H43="NC","✘ NON-CONF.",IF(I43="N/A","— N/A","À REMPLIR")))</f>
        <v>À REMPLIR</v>
      </c>
      <c r="K43" s="18"/>
      <c r="L43" s="18"/>
    </row>
    <row r="44" spans="1:12" ht="37.5" customHeight="1" x14ac:dyDescent="0.3">
      <c r="A44" s="26">
        <v>28</v>
      </c>
      <c r="B44" s="27" t="s">
        <v>126</v>
      </c>
      <c r="C44" s="28" t="s">
        <v>118</v>
      </c>
      <c r="D44" s="29" t="s">
        <v>130</v>
      </c>
      <c r="E44" s="30" t="s">
        <v>131</v>
      </c>
      <c r="F44" s="29"/>
      <c r="G44" s="31"/>
      <c r="H44" s="31"/>
      <c r="I44" s="31"/>
      <c r="J44" s="32" t="str">
        <f>IF(G44="C","✔ CONFORME",IF(H44="NC","✘ NON-CONF.",IF(I44="N/A","— N/A","À REMPLIR")))</f>
        <v>À REMPLIR</v>
      </c>
      <c r="K44" s="29"/>
      <c r="L44" s="29"/>
    </row>
    <row r="45" spans="1:12" ht="37.5" customHeight="1" x14ac:dyDescent="0.3">
      <c r="A45" s="20">
        <v>29</v>
      </c>
      <c r="B45" s="21" t="s">
        <v>126</v>
      </c>
      <c r="C45" s="22" t="s">
        <v>132</v>
      </c>
      <c r="D45" s="18" t="s">
        <v>133</v>
      </c>
      <c r="E45" s="23" t="s">
        <v>134</v>
      </c>
      <c r="F45" s="18"/>
      <c r="G45" s="24"/>
      <c r="H45" s="24"/>
      <c r="I45" s="24"/>
      <c r="J45" s="25" t="str">
        <f>IF(G45="C","✔ CONFORME",IF(H45="NC","✘ NON-CONF.",IF(I45="N/A","— N/A","À REMPLIR")))</f>
        <v>À REMPLIR</v>
      </c>
      <c r="K45" s="18"/>
      <c r="L45" s="18"/>
    </row>
    <row r="46" spans="1:12" ht="37.5" customHeight="1" x14ac:dyDescent="0.3">
      <c r="A46" s="26">
        <v>30</v>
      </c>
      <c r="B46" s="27" t="s">
        <v>126</v>
      </c>
      <c r="C46" s="28" t="s">
        <v>118</v>
      </c>
      <c r="D46" s="29" t="s">
        <v>135</v>
      </c>
      <c r="E46" s="30" t="s">
        <v>136</v>
      </c>
      <c r="F46" s="29"/>
      <c r="G46" s="31"/>
      <c r="H46" s="31"/>
      <c r="I46" s="31"/>
      <c r="J46" s="32" t="str">
        <f>IF(G46="C","✔ CONFORME",IF(H46="NC","✘ NON-CONF.",IF(I46="N/A","— N/A","À REMPLIR")))</f>
        <v>À REMPLIR</v>
      </c>
      <c r="K46" s="29"/>
      <c r="L46" s="29"/>
    </row>
    <row r="47" spans="1:12" ht="37.5" customHeight="1" x14ac:dyDescent="0.3">
      <c r="A47" s="20">
        <v>31</v>
      </c>
      <c r="B47" s="21" t="s">
        <v>126</v>
      </c>
      <c r="C47" s="22" t="s">
        <v>137</v>
      </c>
      <c r="D47" s="18" t="s">
        <v>138</v>
      </c>
      <c r="E47" s="23" t="s">
        <v>139</v>
      </c>
      <c r="F47" s="18"/>
      <c r="G47" s="24"/>
      <c r="H47" s="24"/>
      <c r="I47" s="24"/>
      <c r="J47" s="25" t="str">
        <f>IF(G47="C","✔ CONFORME",IF(H47="NC","✘ NON-CONF.",IF(I47="N/A","— N/A","À REMPLIR")))</f>
        <v>À REMPLIR</v>
      </c>
      <c r="K47" s="18"/>
      <c r="L47" s="18"/>
    </row>
    <row r="49" spans="1:12" ht="18" customHeight="1" x14ac:dyDescent="0.3">
      <c r="A49" s="41" t="s">
        <v>140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spans="1:12" ht="37.5" customHeight="1" x14ac:dyDescent="0.3">
      <c r="A50" s="26">
        <v>32</v>
      </c>
      <c r="B50" s="27" t="s">
        <v>141</v>
      </c>
      <c r="C50" s="28" t="s">
        <v>142</v>
      </c>
      <c r="D50" s="29" t="s">
        <v>143</v>
      </c>
      <c r="E50" s="30" t="s">
        <v>144</v>
      </c>
      <c r="F50" s="29"/>
      <c r="G50" s="31"/>
      <c r="H50" s="31"/>
      <c r="I50" s="31"/>
      <c r="J50" s="32" t="str">
        <f>IF(G50="C","✔ CONFORME",IF(H50="NC","✘ NON-CONF.",IF(I50="N/A","— N/A","À REMPLIR")))</f>
        <v>À REMPLIR</v>
      </c>
      <c r="K50" s="29"/>
      <c r="L50" s="29"/>
    </row>
    <row r="51" spans="1:12" ht="37.5" customHeight="1" x14ac:dyDescent="0.3">
      <c r="A51" s="20">
        <v>33</v>
      </c>
      <c r="B51" s="21" t="s">
        <v>141</v>
      </c>
      <c r="C51" s="22" t="s">
        <v>145</v>
      </c>
      <c r="D51" s="18" t="s">
        <v>146</v>
      </c>
      <c r="E51" s="23" t="s">
        <v>191</v>
      </c>
      <c r="F51" s="18"/>
      <c r="G51" s="24"/>
      <c r="H51" s="24"/>
      <c r="I51" s="24"/>
      <c r="J51" s="25" t="str">
        <f>IF(G51="C","✔ CONFORME",IF(H51="NC","✘ NON-CONF.",IF(I51="N/A","— N/A","À REMPLIR")))</f>
        <v>À REMPLIR</v>
      </c>
      <c r="K51" s="18"/>
      <c r="L51" s="18"/>
    </row>
    <row r="52" spans="1:12" ht="37.5" customHeight="1" x14ac:dyDescent="0.3">
      <c r="A52" s="26">
        <v>34</v>
      </c>
      <c r="B52" s="27" t="s">
        <v>141</v>
      </c>
      <c r="C52" s="28" t="s">
        <v>145</v>
      </c>
      <c r="D52" s="29" t="s">
        <v>147</v>
      </c>
      <c r="E52" s="30" t="s">
        <v>148</v>
      </c>
      <c r="F52" s="29"/>
      <c r="G52" s="31"/>
      <c r="H52" s="31"/>
      <c r="I52" s="31"/>
      <c r="J52" s="32" t="str">
        <f>IF(G52="C","✔ CONFORME",IF(H52="NC","✘ NON-CONF.",IF(I52="N/A","— N/A","À REMPLIR")))</f>
        <v>À REMPLIR</v>
      </c>
      <c r="K52" s="29"/>
      <c r="L52" s="29"/>
    </row>
    <row r="54" spans="1:12" ht="18" customHeight="1" x14ac:dyDescent="0.3">
      <c r="A54" s="36" t="s">
        <v>149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spans="1:12" ht="37.5" customHeight="1" x14ac:dyDescent="0.3">
      <c r="A55" s="20">
        <v>35</v>
      </c>
      <c r="B55" s="21" t="s">
        <v>150</v>
      </c>
      <c r="C55" s="22" t="s">
        <v>151</v>
      </c>
      <c r="D55" s="18" t="s">
        <v>152</v>
      </c>
      <c r="E55" s="23" t="s">
        <v>153</v>
      </c>
      <c r="F55" s="18"/>
      <c r="G55" s="24"/>
      <c r="H55" s="24"/>
      <c r="I55" s="24"/>
      <c r="J55" s="25" t="str">
        <f>IF(G55="C","✔ CONFORME",IF(H55="NC","✘ NON-CONF.",IF(I55="N/A","— N/A","À REMPLIR")))</f>
        <v>À REMPLIR</v>
      </c>
      <c r="K55" s="18"/>
      <c r="L55" s="18"/>
    </row>
    <row r="56" spans="1:12" ht="37.5" customHeight="1" x14ac:dyDescent="0.3">
      <c r="A56" s="26">
        <v>36</v>
      </c>
      <c r="B56" s="27" t="s">
        <v>150</v>
      </c>
      <c r="C56" s="28" t="s">
        <v>151</v>
      </c>
      <c r="D56" s="29" t="s">
        <v>154</v>
      </c>
      <c r="E56" s="30" t="s">
        <v>155</v>
      </c>
      <c r="F56" s="29"/>
      <c r="G56" s="31"/>
      <c r="H56" s="31"/>
      <c r="I56" s="31"/>
      <c r="J56" s="32" t="str">
        <f>IF(G56="C","✔ CONFORME",IF(H56="NC","✘ NON-CONF.",IF(I56="N/A","— N/A","À REMPLIR")))</f>
        <v>À REMPLIR</v>
      </c>
      <c r="K56" s="29"/>
      <c r="L56" s="29"/>
    </row>
    <row r="57" spans="1:12" ht="37.5" customHeight="1" x14ac:dyDescent="0.3">
      <c r="A57" s="20">
        <v>37</v>
      </c>
      <c r="B57" s="21" t="s">
        <v>150</v>
      </c>
      <c r="C57" s="22" t="s">
        <v>151</v>
      </c>
      <c r="D57" s="18" t="s">
        <v>156</v>
      </c>
      <c r="E57" s="23" t="s">
        <v>157</v>
      </c>
      <c r="F57" s="18"/>
      <c r="G57" s="24"/>
      <c r="H57" s="24"/>
      <c r="I57" s="24"/>
      <c r="J57" s="25" t="str">
        <f>IF(G57="C","✔ CONFORME",IF(H57="NC","✘ NON-CONF.",IF(I57="N/A","— N/A","À REMPLIR")))</f>
        <v>À REMPLIR</v>
      </c>
      <c r="K57" s="18"/>
      <c r="L57" s="18"/>
    </row>
    <row r="58" spans="1:12" ht="37.5" customHeight="1" x14ac:dyDescent="0.3">
      <c r="A58" s="26">
        <v>38</v>
      </c>
      <c r="B58" s="27" t="s">
        <v>150</v>
      </c>
      <c r="C58" s="28" t="s">
        <v>151</v>
      </c>
      <c r="D58" s="29" t="s">
        <v>158</v>
      </c>
      <c r="E58" s="30" t="s">
        <v>159</v>
      </c>
      <c r="F58" s="29"/>
      <c r="G58" s="31"/>
      <c r="H58" s="31"/>
      <c r="I58" s="31"/>
      <c r="J58" s="32" t="str">
        <f>IF(G58="C","✔ CONFORME",IF(H58="NC","✘ NON-CONF.",IF(I58="N/A","— N/A","À REMPLIR")))</f>
        <v>À REMPLIR</v>
      </c>
      <c r="K58" s="29"/>
      <c r="L58" s="29"/>
    </row>
    <row r="60" spans="1:12" ht="18" customHeight="1" x14ac:dyDescent="0.3">
      <c r="A60" s="42" t="s">
        <v>160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</row>
    <row r="61" spans="1:12" ht="37.5" customHeight="1" x14ac:dyDescent="0.3">
      <c r="A61" s="20">
        <v>39</v>
      </c>
      <c r="B61" s="21" t="s">
        <v>161</v>
      </c>
      <c r="C61" s="22" t="s">
        <v>162</v>
      </c>
      <c r="D61" s="18" t="s">
        <v>163</v>
      </c>
      <c r="E61" s="23" t="s">
        <v>164</v>
      </c>
      <c r="F61" s="18"/>
      <c r="G61" s="24"/>
      <c r="H61" s="24"/>
      <c r="I61" s="24"/>
      <c r="J61" s="25" t="str">
        <f>IF(G61="C","✔ CONFORME",IF(H61="NC","✘ NON-CONF.",IF(I61="N/A","— N/A","À REMPLIR")))</f>
        <v>À REMPLIR</v>
      </c>
      <c r="K61" s="18"/>
      <c r="L61" s="18"/>
    </row>
    <row r="62" spans="1:12" ht="37.5" customHeight="1" x14ac:dyDescent="0.3">
      <c r="A62" s="26">
        <v>40</v>
      </c>
      <c r="B62" s="27" t="s">
        <v>161</v>
      </c>
      <c r="C62" s="28" t="s">
        <v>165</v>
      </c>
      <c r="D62" s="29" t="s">
        <v>166</v>
      </c>
      <c r="E62" s="30" t="s">
        <v>167</v>
      </c>
      <c r="F62" s="29"/>
      <c r="G62" s="31"/>
      <c r="H62" s="31"/>
      <c r="I62" s="31"/>
      <c r="J62" s="32" t="str">
        <f>IF(G62="C","✔ CONFORME",IF(H62="NC","✘ NON-CONF.",IF(I62="N/A","— N/A","À REMPLIR")))</f>
        <v>À REMPLIR</v>
      </c>
      <c r="K62" s="29"/>
      <c r="L62" s="29"/>
    </row>
    <row r="65" spans="1:14" ht="18" customHeight="1" x14ac:dyDescent="0.3">
      <c r="A65" s="43" t="s">
        <v>168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</row>
    <row r="66" spans="1:14" ht="21.75" customHeight="1" x14ac:dyDescent="0.3">
      <c r="A66" s="44" t="s">
        <v>169</v>
      </c>
      <c r="B66" s="44"/>
      <c r="C66" s="44"/>
      <c r="D66" s="44" t="s">
        <v>170</v>
      </c>
      <c r="E66" s="44"/>
      <c r="F66" s="44" t="s">
        <v>171</v>
      </c>
      <c r="G66" s="44"/>
      <c r="H66" s="44" t="s">
        <v>172</v>
      </c>
      <c r="I66" s="44"/>
      <c r="J66" s="44" t="s">
        <v>173</v>
      </c>
      <c r="K66" s="44"/>
      <c r="L66" s="33" t="s">
        <v>174</v>
      </c>
      <c r="M66" s="66"/>
      <c r="N66" s="66"/>
    </row>
    <row r="67" spans="1:14" ht="19.5" customHeight="1" x14ac:dyDescent="0.3">
      <c r="A67" s="45" t="s">
        <v>175</v>
      </c>
      <c r="B67" s="45"/>
      <c r="C67" s="45"/>
      <c r="D67" s="46">
        <v>6</v>
      </c>
      <c r="E67" s="46"/>
      <c r="F67" s="47">
        <f>COUNTIF(J9:J14,"✔ CONFORME")</f>
        <v>0</v>
      </c>
      <c r="G67" s="47"/>
      <c r="H67" s="48">
        <f>COUNTIF(J9:J14,"✘ NON-CONF.")</f>
        <v>0</v>
      </c>
      <c r="I67" s="48"/>
      <c r="J67" s="49">
        <f>COUNTIF(J9:J14,"— N/A")</f>
        <v>0</v>
      </c>
      <c r="K67" s="49"/>
      <c r="L67" s="26" t="str">
        <f>IF((COUNTIF(J9:J14,"✔ CONFORME")+COUNTIF(J9:J14,"✘ NON-CONF."))=0,"N/A",TEXT(COUNTIF(J9:J14,"✔ CONFORME")/(COUNTIF(J9:J14,"✔ CONFORME")+COUNTIF(J9:J14,"✘ NON-CONF.")),"0%"))</f>
        <v>N/A</v>
      </c>
    </row>
    <row r="68" spans="1:14" ht="19.5" customHeight="1" x14ac:dyDescent="0.3">
      <c r="A68" s="50" t="s">
        <v>176</v>
      </c>
      <c r="B68" s="50"/>
      <c r="C68" s="50"/>
      <c r="D68" s="51">
        <v>8</v>
      </c>
      <c r="E68" s="51"/>
      <c r="F68" s="52">
        <f>COUNTIF(J17:J24,"✔ CONFORME")</f>
        <v>0</v>
      </c>
      <c r="G68" s="52"/>
      <c r="H68" s="53">
        <f>COUNTIF(J17:J24,"✘ NON-CONF.")</f>
        <v>0</v>
      </c>
      <c r="I68" s="53"/>
      <c r="J68" s="54">
        <f>COUNTIF(J17:J24,"— N/A")</f>
        <v>0</v>
      </c>
      <c r="K68" s="54"/>
      <c r="L68" s="20" t="str">
        <f>IF((COUNTIF(J17:J24,"✔ CONFORME")+COUNTIF(J17:J24,"✘ NON-CONF."))=0,"N/A",TEXT(COUNTIF(J17:J24,"✔ CONFORME")/(COUNTIF(J17:J24,"✔ CONFORME")+COUNTIF(J17:J24,"✘ NON-CONF.")),"0%"))</f>
        <v>N/A</v>
      </c>
    </row>
    <row r="69" spans="1:14" ht="19.5" customHeight="1" x14ac:dyDescent="0.3">
      <c r="A69" s="45" t="s">
        <v>177</v>
      </c>
      <c r="B69" s="45"/>
      <c r="C69" s="45"/>
      <c r="D69" s="46">
        <v>6</v>
      </c>
      <c r="E69" s="46"/>
      <c r="F69" s="47">
        <f>COUNTIF(J27:J32,"✔ CONFORME")</f>
        <v>0</v>
      </c>
      <c r="G69" s="47"/>
      <c r="H69" s="48">
        <f>COUNTIF(J27:J32,"✘ NON-CONF.")</f>
        <v>0</v>
      </c>
      <c r="I69" s="48"/>
      <c r="J69" s="49">
        <f>COUNTIF(J27:J32,"— N/A")</f>
        <v>0</v>
      </c>
      <c r="K69" s="49"/>
      <c r="L69" s="26" t="str">
        <f>IF((COUNTIF(J27:J32,"✔ CONFORME")+COUNTIF(J27:J32,"✘ NON-CONF."))=0,"N/A",TEXT(COUNTIF(J27:J32,"✔ CONFORME")/(COUNTIF(J27:J32,"✔ CONFORME")+COUNTIF(J27:J32,"✘ NON-CONF.")),"0%"))</f>
        <v>N/A</v>
      </c>
    </row>
    <row r="70" spans="1:14" ht="19.5" customHeight="1" x14ac:dyDescent="0.3">
      <c r="A70" s="50" t="s">
        <v>178</v>
      </c>
      <c r="B70" s="50"/>
      <c r="C70" s="50"/>
      <c r="D70" s="51">
        <v>6</v>
      </c>
      <c r="E70" s="51"/>
      <c r="F70" s="52">
        <f>COUNTIF(J35:J40,"✔ CONFORME")</f>
        <v>0</v>
      </c>
      <c r="G70" s="52"/>
      <c r="H70" s="53">
        <f>COUNTIF(J35:J40,"✘ NON-CONF.")</f>
        <v>0</v>
      </c>
      <c r="I70" s="53"/>
      <c r="J70" s="54">
        <f>COUNTIF(J35:J40,"— N/A")</f>
        <v>0</v>
      </c>
      <c r="K70" s="54"/>
      <c r="L70" s="20" t="str">
        <f>IF((COUNTIF(J35:J40,"✔ CONFORME")+COUNTIF(J35:J40,"✘ NON-CONF."))=0,"N/A",TEXT(COUNTIF(J35:J40,"✔ CONFORME")/(COUNTIF(J35:J40,"✔ CONFORME")+COUNTIF(J35:J40,"✘ NON-CONF.")),"0%"))</f>
        <v>N/A</v>
      </c>
    </row>
    <row r="71" spans="1:14" ht="19.5" customHeight="1" x14ac:dyDescent="0.3">
      <c r="A71" s="45" t="s">
        <v>179</v>
      </c>
      <c r="B71" s="45"/>
      <c r="C71" s="45"/>
      <c r="D71" s="46">
        <v>5</v>
      </c>
      <c r="E71" s="46"/>
      <c r="F71" s="47">
        <f>COUNTIF(J43:J47,"✔ CONFORME")</f>
        <v>0</v>
      </c>
      <c r="G71" s="47"/>
      <c r="H71" s="48">
        <f>COUNTIF(J43:J47,"✘ NON-CONF.")</f>
        <v>0</v>
      </c>
      <c r="I71" s="48"/>
      <c r="J71" s="49">
        <f>COUNTIF(J43:J47,"— N/A")</f>
        <v>0</v>
      </c>
      <c r="K71" s="49"/>
      <c r="L71" s="26" t="str">
        <f>IF((COUNTIF(J43:J47,"✔ CONFORME")+COUNTIF(J43:J47,"✘ NON-CONF."))=0,"N/A",TEXT(COUNTIF(J43:J47,"✔ CONFORME")/(COUNTIF(J43:J47,"✔ CONFORME")+COUNTIF(J43:J47,"✘ NON-CONF.")),"0%"))</f>
        <v>N/A</v>
      </c>
    </row>
    <row r="72" spans="1:14" ht="19.5" customHeight="1" x14ac:dyDescent="0.3">
      <c r="A72" s="50" t="s">
        <v>180</v>
      </c>
      <c r="B72" s="50"/>
      <c r="C72" s="50"/>
      <c r="D72" s="51">
        <v>3</v>
      </c>
      <c r="E72" s="51"/>
      <c r="F72" s="52">
        <f>COUNTIF(J50:J52,"✔ CONFORME")</f>
        <v>0</v>
      </c>
      <c r="G72" s="52"/>
      <c r="H72" s="53">
        <f>COUNTIF(J50:J52,"✘ NON-CONF.")</f>
        <v>0</v>
      </c>
      <c r="I72" s="53"/>
      <c r="J72" s="54">
        <f>COUNTIF(J50:J52,"— N/A")</f>
        <v>0</v>
      </c>
      <c r="K72" s="54"/>
      <c r="L72" s="20" t="str">
        <f>IF((COUNTIF(J50:J52,"✔ CONFORME")+COUNTIF(J50:J52,"✘ NON-CONF."))=0,"N/A",TEXT(COUNTIF(J50:J52,"✔ CONFORME")/(COUNTIF(J50:J52,"✔ CONFORME")+COUNTIF(J50:J52,"✘ NON-CONF.")),"0%"))</f>
        <v>N/A</v>
      </c>
    </row>
    <row r="73" spans="1:14" ht="19.5" customHeight="1" x14ac:dyDescent="0.3">
      <c r="A73" s="45" t="s">
        <v>181</v>
      </c>
      <c r="B73" s="45"/>
      <c r="C73" s="45"/>
      <c r="D73" s="46">
        <v>4</v>
      </c>
      <c r="E73" s="46"/>
      <c r="F73" s="47">
        <f>COUNTIF(J55:J58,"✔ CONFORME")</f>
        <v>0</v>
      </c>
      <c r="G73" s="47"/>
      <c r="H73" s="48">
        <f>COUNTIF(J55:J58,"✘ NON-CONF.")</f>
        <v>0</v>
      </c>
      <c r="I73" s="48"/>
      <c r="J73" s="49">
        <f>COUNTIF(J55:J58,"— N/A")</f>
        <v>0</v>
      </c>
      <c r="K73" s="49"/>
      <c r="L73" s="26" t="str">
        <f>IF((COUNTIF(J55:J58,"✔ CONFORME")+COUNTIF(J55:J58,"✘ NON-CONF."))=0,"N/A",TEXT(COUNTIF(J55:J58,"✔ CONFORME")/(COUNTIF(J55:J58,"✔ CONFORME")+COUNTIF(J55:J58,"✘ NON-CONF.")),"0%"))</f>
        <v>N/A</v>
      </c>
    </row>
    <row r="74" spans="1:14" ht="19.5" customHeight="1" x14ac:dyDescent="0.3">
      <c r="A74" s="50" t="s">
        <v>182</v>
      </c>
      <c r="B74" s="50"/>
      <c r="C74" s="50"/>
      <c r="D74" s="51">
        <v>2</v>
      </c>
      <c r="E74" s="51"/>
      <c r="F74" s="52">
        <f>COUNTIF(J61:J62,"✔ CONFORME")</f>
        <v>0</v>
      </c>
      <c r="G74" s="52"/>
      <c r="H74" s="53">
        <f>COUNTIF(J61:J62,"✘ NON-CONF.")</f>
        <v>0</v>
      </c>
      <c r="I74" s="53"/>
      <c r="J74" s="54">
        <f>COUNTIF(J61:J62,"— N/A")</f>
        <v>0</v>
      </c>
      <c r="K74" s="54"/>
      <c r="L74" s="20" t="str">
        <f>IF((COUNTIF(J61:J62,"✔ CONFORME")+COUNTIF(J61:J62,"✘ NON-CONF."))=0,"N/A",TEXT(COUNTIF(J61:J62,"✔ CONFORME")/(COUNTIF(J61:J62,"✔ CONFORME")+COUNTIF(J61:J62,"✘ NON-CONF.")),"0%"))</f>
        <v>N/A</v>
      </c>
    </row>
    <row r="75" spans="1:14" ht="21.75" customHeight="1" x14ac:dyDescent="0.3">
      <c r="A75" s="55" t="s">
        <v>183</v>
      </c>
      <c r="B75" s="55"/>
      <c r="C75" s="55"/>
      <c r="D75" s="8">
        <v>40</v>
      </c>
      <c r="E75" s="8"/>
      <c r="F75" s="56">
        <f>COUNTIF(J8:J63,"✔ CONFORME")</f>
        <v>0</v>
      </c>
      <c r="G75" s="56"/>
      <c r="H75" s="57">
        <f>COUNTIF(J8:J63,"✘ NON-CONF.")</f>
        <v>0</v>
      </c>
      <c r="I75" s="57"/>
      <c r="J75" s="58">
        <f>COUNTIF(J8:J63,"— N/A")</f>
        <v>0</v>
      </c>
      <c r="K75" s="58"/>
      <c r="L75" s="34" t="str">
        <f>IF((COUNTIF(J8:J63,"✔ CONFORME")+COUNTIF(J8:J63,"✘ NON-CONF."))=0,"N/A",TEXT(COUNTIF(J8:J63,"✔ CONFORME")/(COUNTIF(J8:J63,"✔ CONFORME")+COUNTIF(J8:J63,"✘ NON-CONF.")),"0%"))</f>
        <v>N/A</v>
      </c>
    </row>
    <row r="77" spans="1:14" ht="18" customHeight="1" x14ac:dyDescent="0.3">
      <c r="A77" s="59" t="s">
        <v>184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</row>
    <row r="78" spans="1:14" ht="15.75" customHeight="1" x14ac:dyDescent="0.3">
      <c r="A78" s="44" t="s">
        <v>185</v>
      </c>
      <c r="B78" s="44"/>
      <c r="C78" s="44"/>
      <c r="D78" s="44"/>
      <c r="E78" s="44" t="s">
        <v>186</v>
      </c>
      <c r="F78" s="44"/>
      <c r="G78" s="44"/>
      <c r="H78" s="44"/>
      <c r="I78" s="44" t="s">
        <v>187</v>
      </c>
      <c r="J78" s="44"/>
      <c r="K78" s="44"/>
      <c r="L78" s="44"/>
    </row>
    <row r="79" spans="1:14" ht="21.75" customHeight="1" x14ac:dyDescent="0.3">
      <c r="A79" s="60" t="s">
        <v>188</v>
      </c>
      <c r="B79" s="60"/>
      <c r="C79" s="60"/>
      <c r="D79" s="60"/>
      <c r="E79" s="61" t="s">
        <v>189</v>
      </c>
      <c r="F79" s="61"/>
      <c r="G79" s="61"/>
      <c r="H79" s="61"/>
      <c r="I79" s="61" t="s">
        <v>190</v>
      </c>
      <c r="J79" s="61"/>
      <c r="K79" s="61"/>
      <c r="L79" s="61"/>
    </row>
    <row r="80" spans="1:14" ht="21.75" customHeight="1" x14ac:dyDescent="0.3">
      <c r="A80" s="60"/>
      <c r="B80" s="60"/>
      <c r="C80" s="60"/>
      <c r="D80" s="60"/>
      <c r="E80" s="61"/>
      <c r="F80" s="61"/>
      <c r="G80" s="61"/>
      <c r="H80" s="61"/>
      <c r="I80" s="61"/>
      <c r="J80" s="61"/>
      <c r="K80" s="61"/>
      <c r="L80" s="61"/>
    </row>
  </sheetData>
  <mergeCells count="75">
    <mergeCell ref="A77:L77"/>
    <mergeCell ref="A78:D78"/>
    <mergeCell ref="E78:H78"/>
    <mergeCell ref="I78:L78"/>
    <mergeCell ref="A79:D80"/>
    <mergeCell ref="E79:H80"/>
    <mergeCell ref="I79:L80"/>
    <mergeCell ref="A75:C75"/>
    <mergeCell ref="D75:E75"/>
    <mergeCell ref="F75:G75"/>
    <mergeCell ref="H75:I75"/>
    <mergeCell ref="J75:K75"/>
    <mergeCell ref="A74:C74"/>
    <mergeCell ref="D74:E74"/>
    <mergeCell ref="F74:G74"/>
    <mergeCell ref="H74:I74"/>
    <mergeCell ref="J74:K74"/>
    <mergeCell ref="A73:C73"/>
    <mergeCell ref="D73:E73"/>
    <mergeCell ref="F73:G73"/>
    <mergeCell ref="H73:I73"/>
    <mergeCell ref="J73:K73"/>
    <mergeCell ref="A72:C72"/>
    <mergeCell ref="D72:E72"/>
    <mergeCell ref="F72:G72"/>
    <mergeCell ref="H72:I72"/>
    <mergeCell ref="J72:K72"/>
    <mergeCell ref="A71:C71"/>
    <mergeCell ref="D71:E71"/>
    <mergeCell ref="F71:G71"/>
    <mergeCell ref="H71:I71"/>
    <mergeCell ref="J71:K71"/>
    <mergeCell ref="A70:C70"/>
    <mergeCell ref="D70:E70"/>
    <mergeCell ref="F70:G70"/>
    <mergeCell ref="H70:I70"/>
    <mergeCell ref="J70:K70"/>
    <mergeCell ref="A69:C69"/>
    <mergeCell ref="D69:E69"/>
    <mergeCell ref="F69:G69"/>
    <mergeCell ref="H69:I69"/>
    <mergeCell ref="J69:K69"/>
    <mergeCell ref="A68:C68"/>
    <mergeCell ref="D68:E68"/>
    <mergeCell ref="F68:G68"/>
    <mergeCell ref="H68:I68"/>
    <mergeCell ref="J68:K68"/>
    <mergeCell ref="A67:C67"/>
    <mergeCell ref="D67:E67"/>
    <mergeCell ref="F67:G67"/>
    <mergeCell ref="H67:I67"/>
    <mergeCell ref="J67:K67"/>
    <mergeCell ref="A49:L49"/>
    <mergeCell ref="A54:L54"/>
    <mergeCell ref="A60:L60"/>
    <mergeCell ref="A65:L65"/>
    <mergeCell ref="A66:C66"/>
    <mergeCell ref="D66:E66"/>
    <mergeCell ref="F66:G66"/>
    <mergeCell ref="H66:I66"/>
    <mergeCell ref="J66:K66"/>
    <mergeCell ref="A8:L8"/>
    <mergeCell ref="A16:L16"/>
    <mergeCell ref="A26:L26"/>
    <mergeCell ref="A34:L34"/>
    <mergeCell ref="A42:L42"/>
    <mergeCell ref="A1:L1"/>
    <mergeCell ref="A2:L3"/>
    <mergeCell ref="A4:L4"/>
    <mergeCell ref="A5:L5"/>
    <mergeCell ref="I6:J6"/>
    <mergeCell ref="K6:L6"/>
    <mergeCell ref="G6:H6"/>
    <mergeCell ref="C6:D6"/>
    <mergeCell ref="A6:B6"/>
  </mergeCells>
  <conditionalFormatting sqref="J8:J63">
    <cfRule type="cellIs" dxfId="3" priority="2" operator="equal">
      <formula>"✔ CONFORME"</formula>
    </cfRule>
    <cfRule type="cellIs" dxfId="2" priority="3" operator="equal">
      <formula>"✘ NON-CONF."</formula>
    </cfRule>
    <cfRule type="cellIs" dxfId="1" priority="4" operator="equal">
      <formula>"— N/A"</formula>
    </cfRule>
    <cfRule type="cellIs" dxfId="0" priority="5" operator="equal">
      <formula>"À REMPLIR"</formula>
    </cfRule>
  </conditionalFormatting>
  <dataValidations count="3">
    <dataValidation type="list" allowBlank="1" sqref="G8:G63" xr:uid="{00000000-0002-0000-0100-000000000000}">
      <formula1>"C,NC,N/A"</formula1>
      <formula2>0</formula2>
    </dataValidation>
    <dataValidation type="list" allowBlank="1" sqref="H8:H63" xr:uid="{00000000-0002-0000-0100-000001000000}">
      <formula1>"NC,C,N/A"</formula1>
      <formula2>0</formula2>
    </dataValidation>
    <dataValidation type="list" allowBlank="1" sqref="I8:I63" xr:uid="{00000000-0002-0000-0100-000002000000}">
      <formula1>"N/A,C,NC"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IDENTITÉ</vt:lpstr>
      <vt:lpstr>REGISTRE</vt:lpstr>
      <vt:lpstr>REGISTRE!Zone_d_impression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emna marzouki</cp:lastModifiedBy>
  <cp:revision>0</cp:revision>
  <dcterms:created xsi:type="dcterms:W3CDTF">2026-06-07T10:57:49Z</dcterms:created>
  <dcterms:modified xsi:type="dcterms:W3CDTF">2026-06-07T11:04:16Z</dcterms:modified>
  <dc:language>en-US</dc:language>
</cp:coreProperties>
</file>