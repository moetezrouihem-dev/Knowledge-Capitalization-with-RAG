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É" sheetId="1" r:id="rId4"/>
    <sheet state="visible" name="REGISTRE" sheetId="2" r:id="rId5"/>
  </sheets>
  <definedNames/>
  <calcPr/>
  <extLst>
    <ext uri="GoogleSheetsCustomDataVersion2">
      <go:sheetsCustomData xmlns:go="http://customooxmlschemas.google.com/" r:id="rId6" roundtripDataChecksum="xmYlgR1IZcnRj/Qyv4MbzA7yqZbG9Ddfxz7N0HgpNno="/>
    </ext>
  </extLst>
</workbook>
</file>

<file path=xl/sharedStrings.xml><?xml version="1.0" encoding="utf-8"?>
<sst xmlns="http://schemas.openxmlformats.org/spreadsheetml/2006/main" count="143" uniqueCount="102">
  <si>
    <t>SYSTÈME DE MANAGEMENT DE LA QUALITÉ — SFM TECHNOLOGIES</t>
  </si>
  <si>
    <t>Programme d'Audit Interne Annuel — SMQ-FOR-092-A</t>
  </si>
  <si>
    <t>Référence</t>
  </si>
  <si>
    <t>SMQ-FOR-092-A</t>
  </si>
  <si>
    <t>Version</t>
  </si>
  <si>
    <t>V02</t>
  </si>
  <si>
    <t>Date d'émission</t>
  </si>
  <si>
    <t>Juin 2026</t>
  </si>
  <si>
    <t>Statut</t>
  </si>
  <si>
    <t>En Vigueur</t>
  </si>
  <si>
    <t>Clause ISO 9001:2015</t>
  </si>
  <si>
    <t>§9.2 — Audit interne</t>
  </si>
  <si>
    <t>Processus SMQ</t>
  </si>
  <si>
    <t>PM1 — Management &amp; Pilotage</t>
  </si>
  <si>
    <t>Rédacteur</t>
  </si>
  <si>
    <t>Manel Idoudi — PMO-Qualité</t>
  </si>
  <si>
    <t>Vérificateur</t>
  </si>
  <si>
    <t>Approbateur</t>
  </si>
  <si>
    <t>Sami Tabbane — Directeur Général</t>
  </si>
  <si>
    <t>Responsable programme</t>
  </si>
  <si>
    <t>Périmètre</t>
  </si>
  <si>
    <t>Ensemble du SMQ SFM Technologies — 9 processus</t>
  </si>
  <si>
    <t>Référentiel</t>
  </si>
  <si>
    <t>ISO 9001:2015 §9.2</t>
  </si>
  <si>
    <t>Fréquence de révision</t>
  </si>
  <si>
    <t>Annuelle (ou si NC majeure détectée)</t>
  </si>
  <si>
    <t>Prochaine révision</t>
  </si>
  <si>
    <t>Juin 2027</t>
  </si>
  <si>
    <t>CADRE DE VALIDATION</t>
  </si>
  <si>
    <t>RÉDIGÉ PAR</t>
  </si>
  <si>
    <t>VÉRIFIÉ PAR</t>
  </si>
  <si>
    <t>APPROUVÉ PAR</t>
  </si>
  <si>
    <t>Signature : _____________________</t>
  </si>
  <si>
    <t>Date : ___/___/______</t>
  </si>
  <si>
    <t>SMQ-FOR-092-A | Programme d'Audit Annuel | SFM Technologies | ISO 9001:2015 §9.2 | Document confidentiel — Usage interne uniquement</t>
  </si>
  <si>
    <t>SMQ-FOR-092-A  |  PROGRAMME D'AUDIT INTERNE ANNUEL 2026  |  SFM TECHNOLOGIES</t>
  </si>
  <si>
    <t>Management Visuel :  🟢 RÉALISÉ  |  🟡 PLANIFIÉ  |  🔴 EN RETARD  |  ⚪ NON PLANIFIÉ   —   Criticité :  🔴 CRITIQUE (IPR ≥ 81)  |  🟠 ÉLEVÉ (IPR 57-80)  |  🔵 MODÉRÉ (IPR 37-56)  |  🟢 FAIBLE (IPR ≤ 36)</t>
  </si>
  <si>
    <t>CALENDRIER 2026  —  Indiquer : P=Planifié  |  R=Réalisé  |  X=Reporté  |  (vide)=Non planifié</t>
  </si>
  <si>
    <t>SYNTHÈSE</t>
  </si>
  <si>
    <t>Code
Processus</t>
  </si>
  <si>
    <t>Processus / Périmètre</t>
  </si>
  <si>
    <t>Pilote
Processus</t>
  </si>
  <si>
    <t>Criticité
ISO</t>
  </si>
  <si>
    <t>IPR
AMDEC</t>
  </si>
  <si>
    <t>Fréq.
/an</t>
  </si>
  <si>
    <t>Type
Auditeur</t>
  </si>
  <si>
    <t>Nom Auditeur
/ Cabinet</t>
  </si>
  <si>
    <t>Jan.</t>
  </si>
  <si>
    <t>Fév.</t>
  </si>
  <si>
    <t>Mar.</t>
  </si>
  <si>
    <t>Avr.</t>
  </si>
  <si>
    <t>Mai</t>
  </si>
  <si>
    <t>Juin</t>
  </si>
  <si>
    <t>Juil.</t>
  </si>
  <si>
    <t>Août</t>
  </si>
  <si>
    <t>Sep.</t>
  </si>
  <si>
    <t>Oct.</t>
  </si>
  <si>
    <t>Nov.</t>
  </si>
  <si>
    <t>Déc.</t>
  </si>
  <si>
    <t>Audits
Planifiés</t>
  </si>
  <si>
    <t>Audits
Réalisés</t>
  </si>
  <si>
    <t>Taux
Réalisation</t>
  </si>
  <si>
    <t>PM1</t>
  </si>
  <si>
    <t>Management &amp; Pilotage Stratégique</t>
  </si>
  <si>
    <t>Manel Idoudi</t>
  </si>
  <si>
    <t>ÉLEVÉ</t>
  </si>
  <si>
    <t>Externe</t>
  </si>
  <si>
    <t>Cabinet ISO 9001</t>
  </si>
  <si>
    <t>P</t>
  </si>
  <si>
    <t>PR1</t>
  </si>
  <si>
    <t>BU Telco — Conseil &amp; Ingénierie 5G/RAN</t>
  </si>
  <si>
    <t>Erij Sioud</t>
  </si>
  <si>
    <t>CRITIQUE</t>
  </si>
  <si>
    <t>PR2</t>
  </si>
  <si>
    <t>BU Digital — Transformation &amp; SaaS</t>
  </si>
  <si>
    <t>Rim Selmi</t>
  </si>
  <si>
    <t>PR3</t>
  </si>
  <si>
    <t>BU Formation — Ingénierie Pédagogique</t>
  </si>
  <si>
    <t>Monia Saidi</t>
  </si>
  <si>
    <t>MODÉRÉ</t>
  </si>
  <si>
    <t>Interne</t>
  </si>
  <si>
    <t>Manel Idoudi*</t>
  </si>
  <si>
    <t>PS1</t>
  </si>
  <si>
    <t>Gestion RH &amp; Compétences</t>
  </si>
  <si>
    <t>Dorsaf El Ghoul</t>
  </si>
  <si>
    <t>PS2</t>
  </si>
  <si>
    <t>Gestion Documentaire &amp; SMQ</t>
  </si>
  <si>
    <t>Externe**</t>
  </si>
  <si>
    <t>PS3</t>
  </si>
  <si>
    <t>Infrastructure IT, Cloud &amp; Sécurité</t>
  </si>
  <si>
    <t>Lahaou Kone</t>
  </si>
  <si>
    <t>PS4</t>
  </si>
  <si>
    <t>Finance &amp; Administration</t>
  </si>
  <si>
    <t>Houssem Dridi</t>
  </si>
  <si>
    <t>PS5</t>
  </si>
  <si>
    <t>Communication &amp; Commercial</t>
  </si>
  <si>
    <t>Najla Masmoudi</t>
  </si>
  <si>
    <t>FAIBLE</t>
  </si>
  <si>
    <t>TOTAL / SYNTHÈSE PROGRAMME 2026</t>
  </si>
  <si>
    <t>NOTES :  * Manel Idoudi (PMO-Qualité) ne peut pas auditer PS2 (son propre périmètre) — §9.2.2.d ISO 9001:2015.  ** PS2 audité par cabinet externe ou auditeur interne habilité désigné par la DG.</t>
  </si>
  <si>
    <t>FORMULES ACTIVES :  Colonne 'Planifié' = COUNTIF(P)+COUNTIF(R) par ligne  |  Colonne 'Réalisé' = COUNTIF(R) par ligne  |  Taux = Réalisé/Planifié  |  IPR source : AMDEC SMQ V01</t>
  </si>
  <si>
    <t>INSTRUCTION :  Mettre à jour le statut de chaque audit en remplaçant 'P' (Planifié) par 'R' (Réalisé) ou 'X' (Reporté) après chaque session. Le taux de réalisation se recalcule automatiquement.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</si>
</sst>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Calibri"/>
    </font>
    <font/>
    <font>
      <b/>
      <sz val="16.0"/>
      <color rgb="FFFFFFFF"/>
      <name val="Arial"/>
    </font>
    <font>
      <b/>
      <sz val="13.0"/>
      <color rgb="FFFFFFFF"/>
      <name val="Arial"/>
    </font>
    <font>
      <b/>
      <sz val="10.0"/>
      <color rgb="FF1B3A6B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sz val="9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7F3F00"/>
      <name val="Arial"/>
    </font>
    <font>
      <sz val="10.0"/>
      <color theme="1"/>
      <name val="Arial"/>
    </font>
    <font>
      <b/>
      <sz val="10.0"/>
      <color rgb="FF7F3F00"/>
      <name val="Arial"/>
    </font>
    <font>
      <b/>
      <sz val="10.0"/>
      <color theme="1"/>
      <name val="Arial"/>
    </font>
    <font>
      <b/>
      <sz val="9.0"/>
      <color rgb="FFC00000"/>
      <name val="Arial"/>
    </font>
    <font>
      <b/>
      <sz val="9.0"/>
      <color rgb="FF1B3A6B"/>
      <name val="Arial"/>
    </font>
    <font>
      <b/>
      <sz val="9.0"/>
      <color rgb="FF375623"/>
      <name val="Arial"/>
    </font>
    <font>
      <i/>
      <sz val="9.0"/>
      <color rgb="FFC55A11"/>
      <name val="Arial"/>
    </font>
    <font>
      <i/>
      <sz val="9.0"/>
      <color rgb="FF59595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C55A11"/>
        <bgColor rgb="FFC55A11"/>
      </patternFill>
    </fill>
    <fill>
      <patternFill patternType="solid">
        <fgColor rgb="FFD9E2F0"/>
        <bgColor rgb="FFD9E2F0"/>
      </patternFill>
    </fill>
    <fill>
      <patternFill patternType="solid">
        <fgColor rgb="FFFFFFFF"/>
        <bgColor rgb="FFFFFFFF"/>
      </patternFill>
    </fill>
    <fill>
      <patternFill patternType="solid">
        <fgColor rgb="FFF2F5FA"/>
        <bgColor rgb="FFF2F5FA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D7D7"/>
        <bgColor rgb="FFFFD7D7"/>
      </patternFill>
    </fill>
    <fill>
      <patternFill patternType="solid">
        <fgColor rgb="FFDEEAF1"/>
        <bgColor rgb="FFDEEAF1"/>
      </patternFill>
    </fill>
    <fill>
      <patternFill patternType="solid">
        <fgColor rgb="FF375623"/>
        <bgColor rgb="FF375623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shrinkToFit="0" vertical="bottom" wrapText="0"/>
    </xf>
    <xf borderId="12" fillId="5" fontId="5" numFmtId="0" xfId="0" applyAlignment="1" applyBorder="1" applyFill="1" applyFont="1">
      <alignment horizontal="left" shrinkToFit="0" vertical="center" wrapText="1"/>
    </xf>
    <xf borderId="13" fillId="6" fontId="1" numFmtId="0" xfId="0" applyAlignment="1" applyBorder="1" applyFill="1" applyFont="1">
      <alignment horizontal="left" shrinkToFit="0" vertical="center" wrapText="1"/>
    </xf>
    <xf borderId="14" fillId="0" fontId="2" numFmtId="0" xfId="0" applyBorder="1" applyFont="1"/>
    <xf borderId="15" fillId="0" fontId="2" numFmtId="0" xfId="0" applyBorder="1" applyFont="1"/>
    <xf borderId="13" fillId="7" fontId="1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3" fillId="7" fontId="8" numFmtId="0" xfId="0" applyAlignment="1" applyBorder="1" applyFont="1">
      <alignment horizontal="left" shrinkToFit="0" vertical="center" wrapText="1"/>
    </xf>
    <xf borderId="13" fillId="7" fontId="9" numFmtId="0" xfId="0" applyAlignment="1" applyBorder="1" applyFont="1">
      <alignment horizontal="left" shrinkToFit="0" vertical="center" wrapText="1"/>
    </xf>
    <xf borderId="13" fillId="2" fontId="10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16" fillId="4" fontId="1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2" fillId="7" fontId="5" numFmtId="0" xfId="0" applyAlignment="1" applyBorder="1" applyFont="1">
      <alignment horizontal="center" shrinkToFit="0" vertical="center" wrapText="1"/>
    </xf>
    <xf borderId="12" fillId="7" fontId="1" numFmtId="0" xfId="0" applyAlignment="1" applyBorder="1" applyFont="1">
      <alignment horizontal="left" shrinkToFit="0" vertical="center" wrapText="1"/>
    </xf>
    <xf borderId="12" fillId="7" fontId="12" numFmtId="0" xfId="0" applyAlignment="1" applyBorder="1" applyFont="1">
      <alignment horizontal="left" shrinkToFit="0" vertical="center" wrapText="1"/>
    </xf>
    <xf borderId="12" fillId="8" fontId="13" numFmtId="0" xfId="0" applyAlignment="1" applyBorder="1" applyFill="1" applyFont="1">
      <alignment horizontal="center" shrinkToFit="0" vertical="center" wrapText="1"/>
    </xf>
    <xf borderId="12" fillId="7" fontId="8" numFmtId="0" xfId="0" applyAlignment="1" applyBorder="1" applyFont="1">
      <alignment horizontal="center" shrinkToFit="0" vertical="center" wrapText="1"/>
    </xf>
    <xf borderId="12" fillId="7" fontId="1" numFmtId="0" xfId="0" applyAlignment="1" applyBorder="1" applyFont="1">
      <alignment horizontal="center" shrinkToFit="0" vertical="center" wrapText="1"/>
    </xf>
    <xf borderId="12" fillId="7" fontId="12" numFmtId="0" xfId="0" applyAlignment="1" applyBorder="1" applyFont="1">
      <alignment horizontal="center" shrinkToFit="0" vertical="center" wrapText="1"/>
    </xf>
    <xf borderId="12" fillId="7" fontId="14" numFmtId="0" xfId="0" applyAlignment="1" applyBorder="1" applyFont="1">
      <alignment horizontal="center" shrinkToFit="0" vertical="center" wrapText="1"/>
    </xf>
    <xf borderId="12" fillId="8" fontId="15" numFmtId="0" xfId="0" applyAlignment="1" applyBorder="1" applyFont="1">
      <alignment horizontal="center" shrinkToFit="0" vertical="center" wrapText="1"/>
    </xf>
    <xf borderId="12" fillId="8" fontId="16" numFmtId="0" xfId="0" applyAlignment="1" applyBorder="1" applyFont="1">
      <alignment horizontal="center" shrinkToFit="0" vertical="center" wrapText="1"/>
    </xf>
    <xf borderId="12" fillId="9" fontId="16" numFmtId="0" xfId="0" applyAlignment="1" applyBorder="1" applyFill="1" applyFont="1">
      <alignment horizontal="center" shrinkToFit="0" vertical="center" wrapText="1"/>
    </xf>
    <xf borderId="12" fillId="7" fontId="16" numFmtId="0" xfId="0" applyAlignment="1" applyBorder="1" applyFont="1">
      <alignment horizontal="center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12" fillId="6" fontId="1" numFmtId="0" xfId="0" applyAlignment="1" applyBorder="1" applyFont="1">
      <alignment horizontal="left" shrinkToFit="0" vertical="center" wrapText="1"/>
    </xf>
    <xf borderId="12" fillId="6" fontId="12" numFmtId="0" xfId="0" applyAlignment="1" applyBorder="1" applyFont="1">
      <alignment horizontal="left" shrinkToFit="0" vertical="center" wrapText="1"/>
    </xf>
    <xf borderId="12" fillId="10" fontId="17" numFmtId="0" xfId="0" applyAlignment="1" applyBorder="1" applyFill="1" applyFont="1">
      <alignment horizontal="center" shrinkToFit="0" vertical="center" wrapText="1"/>
    </xf>
    <xf borderId="12" fillId="6" fontId="8" numFmtId="0" xfId="0" applyAlignment="1" applyBorder="1" applyFont="1">
      <alignment horizontal="center" shrinkToFit="0" vertical="center" wrapText="1"/>
    </xf>
    <xf borderId="12" fillId="6" fontId="1" numFmtId="0" xfId="0" applyAlignment="1" applyBorder="1" applyFont="1">
      <alignment horizontal="center" shrinkToFit="0" vertical="center" wrapText="1"/>
    </xf>
    <xf borderId="12" fillId="6" fontId="12" numFmtId="0" xfId="0" applyAlignment="1" applyBorder="1" applyFont="1">
      <alignment horizontal="center" shrinkToFit="0" vertical="center" wrapText="1"/>
    </xf>
    <xf borderId="12" fillId="6" fontId="14" numFmtId="0" xfId="0" applyAlignment="1" applyBorder="1" applyFont="1">
      <alignment horizontal="center" shrinkToFit="0" vertical="center" wrapText="1"/>
    </xf>
    <xf borderId="12" fillId="6" fontId="16" numFmtId="0" xfId="0" applyAlignment="1" applyBorder="1" applyFont="1">
      <alignment horizontal="center" shrinkToFit="0" vertical="center" wrapText="1"/>
    </xf>
    <xf borderId="12" fillId="11" fontId="18" numFmtId="0" xfId="0" applyAlignment="1" applyBorder="1" applyFill="1" applyFont="1">
      <alignment horizontal="center" shrinkToFit="0" vertical="center" wrapText="1"/>
    </xf>
    <xf borderId="12" fillId="9" fontId="19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2" fillId="12" fontId="6" numFmtId="0" xfId="0" applyAlignment="1" applyBorder="1" applyFill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0"/>
    </xf>
  </cellXfs>
  <cellStyles count="1">
    <cellStyle xfId="0" name="Normal" builtinId="0"/>
  </cellStyles>
  <dxfs count="2">
    <dxf>
      <font>
        <b/>
        <color rgb="FFC00000"/>
        <name val="Arial"/>
      </font>
      <fill>
        <patternFill patternType="solid">
          <fgColor rgb="FFFFD7D7"/>
          <bgColor rgb="FFFFD7D7"/>
        </patternFill>
      </fill>
      <border/>
    </dxf>
    <dxf>
      <font>
        <b/>
        <color rgb="FF375623"/>
        <name val="Arial"/>
      </font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11" width="14.0"/>
    <col customWidth="1" min="12" max="26" width="8.71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8.0" customHeight="1">
      <c r="A3" s="7"/>
      <c r="K3" s="8"/>
    </row>
    <row r="4" ht="18.0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.75" customHeight="1">
      <c r="A5" s="12" t="s">
        <v>1</v>
      </c>
      <c r="B5" s="5"/>
      <c r="C5" s="5"/>
      <c r="D5" s="5"/>
      <c r="E5" s="5"/>
      <c r="F5" s="5"/>
      <c r="G5" s="5"/>
      <c r="H5" s="5"/>
      <c r="I5" s="5"/>
      <c r="J5" s="5"/>
      <c r="K5" s="6"/>
    </row>
    <row r="6" ht="15.7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1"/>
    </row>
    <row r="7" ht="4.5" customHeight="1">
      <c r="A7" s="13"/>
      <c r="B7" s="2"/>
      <c r="C7" s="2"/>
      <c r="D7" s="2"/>
      <c r="E7" s="2"/>
      <c r="F7" s="2"/>
      <c r="G7" s="2"/>
      <c r="H7" s="2"/>
      <c r="I7" s="2"/>
      <c r="J7" s="2"/>
      <c r="K7" s="3"/>
    </row>
    <row r="8" ht="6.0" customHeight="1"/>
    <row r="9" ht="19.5" customHeight="1">
      <c r="A9" s="14" t="s">
        <v>2</v>
      </c>
      <c r="B9" s="15" t="s">
        <v>3</v>
      </c>
      <c r="C9" s="16"/>
      <c r="D9" s="16"/>
      <c r="E9" s="16"/>
      <c r="F9" s="16"/>
      <c r="G9" s="16"/>
      <c r="H9" s="16"/>
      <c r="I9" s="16"/>
      <c r="J9" s="16"/>
      <c r="K9" s="17"/>
    </row>
    <row r="10" ht="19.5" customHeight="1">
      <c r="A10" s="14" t="s">
        <v>4</v>
      </c>
      <c r="B10" s="18" t="s">
        <v>5</v>
      </c>
      <c r="C10" s="16"/>
      <c r="D10" s="16"/>
      <c r="E10" s="16"/>
      <c r="F10" s="16"/>
      <c r="G10" s="16"/>
      <c r="H10" s="16"/>
      <c r="I10" s="16"/>
      <c r="J10" s="16"/>
      <c r="K10" s="17"/>
    </row>
    <row r="11" ht="19.5" customHeight="1">
      <c r="A11" s="14" t="s">
        <v>6</v>
      </c>
      <c r="B11" s="15" t="s">
        <v>7</v>
      </c>
      <c r="C11" s="16"/>
      <c r="D11" s="16"/>
      <c r="E11" s="16"/>
      <c r="F11" s="16"/>
      <c r="G11" s="16"/>
      <c r="H11" s="16"/>
      <c r="I11" s="16"/>
      <c r="J11" s="16"/>
      <c r="K11" s="17"/>
    </row>
    <row r="12" ht="19.5" customHeight="1">
      <c r="A12" s="14" t="s">
        <v>8</v>
      </c>
      <c r="B12" s="18" t="s">
        <v>9</v>
      </c>
      <c r="C12" s="16"/>
      <c r="D12" s="16"/>
      <c r="E12" s="16"/>
      <c r="F12" s="16"/>
      <c r="G12" s="16"/>
      <c r="H12" s="16"/>
      <c r="I12" s="16"/>
      <c r="J12" s="16"/>
      <c r="K12" s="17"/>
    </row>
    <row r="13" ht="19.5" customHeight="1">
      <c r="A13" s="14" t="s">
        <v>10</v>
      </c>
      <c r="B13" s="15" t="s">
        <v>11</v>
      </c>
      <c r="C13" s="16"/>
      <c r="D13" s="16"/>
      <c r="E13" s="16"/>
      <c r="F13" s="16"/>
      <c r="G13" s="16"/>
      <c r="H13" s="16"/>
      <c r="I13" s="16"/>
      <c r="J13" s="16"/>
      <c r="K13" s="17"/>
    </row>
    <row r="14" ht="19.5" customHeight="1">
      <c r="A14" s="14" t="s">
        <v>12</v>
      </c>
      <c r="B14" s="18" t="s">
        <v>13</v>
      </c>
      <c r="C14" s="16"/>
      <c r="D14" s="16"/>
      <c r="E14" s="16"/>
      <c r="F14" s="16"/>
      <c r="G14" s="16"/>
      <c r="H14" s="16"/>
      <c r="I14" s="16"/>
      <c r="J14" s="16"/>
      <c r="K14" s="17"/>
    </row>
    <row r="15" ht="19.5" customHeight="1">
      <c r="A15" s="14" t="s">
        <v>14</v>
      </c>
      <c r="B15" s="15" t="s">
        <v>15</v>
      </c>
      <c r="C15" s="16"/>
      <c r="D15" s="16"/>
      <c r="E15" s="16"/>
      <c r="F15" s="16"/>
      <c r="G15" s="16"/>
      <c r="H15" s="16"/>
      <c r="I15" s="16"/>
      <c r="J15" s="16"/>
      <c r="K15" s="17"/>
    </row>
    <row r="16" ht="19.5" customHeight="1">
      <c r="A16" s="14" t="s">
        <v>16</v>
      </c>
      <c r="B16" s="18" t="s">
        <v>15</v>
      </c>
      <c r="C16" s="16"/>
      <c r="D16" s="16"/>
      <c r="E16" s="16"/>
      <c r="F16" s="16"/>
      <c r="G16" s="16"/>
      <c r="H16" s="16"/>
      <c r="I16" s="16"/>
      <c r="J16" s="16"/>
      <c r="K16" s="17"/>
    </row>
    <row r="17" ht="19.5" customHeight="1">
      <c r="A17" s="14" t="s">
        <v>17</v>
      </c>
      <c r="B17" s="15" t="s">
        <v>18</v>
      </c>
      <c r="C17" s="16"/>
      <c r="D17" s="16"/>
      <c r="E17" s="16"/>
      <c r="F17" s="16"/>
      <c r="G17" s="16"/>
      <c r="H17" s="16"/>
      <c r="I17" s="16"/>
      <c r="J17" s="16"/>
      <c r="K17" s="17"/>
    </row>
    <row r="18" ht="19.5" customHeight="1">
      <c r="A18" s="14" t="s">
        <v>19</v>
      </c>
      <c r="B18" s="18" t="s">
        <v>15</v>
      </c>
      <c r="C18" s="16"/>
      <c r="D18" s="16"/>
      <c r="E18" s="16"/>
      <c r="F18" s="16"/>
      <c r="G18" s="16"/>
      <c r="H18" s="16"/>
      <c r="I18" s="16"/>
      <c r="J18" s="16"/>
      <c r="K18" s="17"/>
    </row>
    <row r="19" ht="19.5" customHeight="1">
      <c r="A19" s="14" t="s">
        <v>20</v>
      </c>
      <c r="B19" s="15" t="s">
        <v>21</v>
      </c>
      <c r="C19" s="16"/>
      <c r="D19" s="16"/>
      <c r="E19" s="16"/>
      <c r="F19" s="16"/>
      <c r="G19" s="16"/>
      <c r="H19" s="16"/>
      <c r="I19" s="16"/>
      <c r="J19" s="16"/>
      <c r="K19" s="17"/>
    </row>
    <row r="20" ht="19.5" customHeight="1">
      <c r="A20" s="14" t="s">
        <v>22</v>
      </c>
      <c r="B20" s="18" t="s">
        <v>23</v>
      </c>
      <c r="C20" s="16"/>
      <c r="D20" s="16"/>
      <c r="E20" s="16"/>
      <c r="F20" s="16"/>
      <c r="G20" s="16"/>
      <c r="H20" s="16"/>
      <c r="I20" s="16"/>
      <c r="J20" s="16"/>
      <c r="K20" s="17"/>
    </row>
    <row r="21" ht="19.5" customHeight="1">
      <c r="A21" s="14" t="s">
        <v>24</v>
      </c>
      <c r="B21" s="15" t="s">
        <v>25</v>
      </c>
      <c r="C21" s="16"/>
      <c r="D21" s="16"/>
      <c r="E21" s="16"/>
      <c r="F21" s="16"/>
      <c r="G21" s="16"/>
      <c r="H21" s="16"/>
      <c r="I21" s="16"/>
      <c r="J21" s="16"/>
      <c r="K21" s="17"/>
    </row>
    <row r="22" ht="19.5" customHeight="1">
      <c r="A22" s="14" t="s">
        <v>26</v>
      </c>
      <c r="B22" s="18" t="s">
        <v>27</v>
      </c>
      <c r="C22" s="16"/>
      <c r="D22" s="16"/>
      <c r="E22" s="16"/>
      <c r="F22" s="16"/>
      <c r="G22" s="16"/>
      <c r="H22" s="16"/>
      <c r="I22" s="16"/>
      <c r="J22" s="16"/>
      <c r="K22" s="17"/>
    </row>
    <row r="23" ht="15.75" customHeight="1"/>
    <row r="24" ht="7.5" customHeight="1"/>
    <row r="25" ht="19.5" customHeight="1">
      <c r="A25" s="19" t="s">
        <v>28</v>
      </c>
      <c r="B25" s="16"/>
      <c r="C25" s="16"/>
      <c r="D25" s="16"/>
      <c r="E25" s="16"/>
      <c r="F25" s="16"/>
      <c r="G25" s="16"/>
      <c r="H25" s="16"/>
      <c r="I25" s="16"/>
      <c r="J25" s="16"/>
      <c r="K25" s="17"/>
    </row>
    <row r="26" ht="18.0" customHeight="1">
      <c r="A26" s="20" t="s">
        <v>29</v>
      </c>
      <c r="B26" s="16"/>
      <c r="C26" s="16"/>
      <c r="D26" s="17"/>
      <c r="E26" s="20" t="s">
        <v>30</v>
      </c>
      <c r="F26" s="16"/>
      <c r="G26" s="17"/>
      <c r="H26" s="20" t="s">
        <v>31</v>
      </c>
      <c r="I26" s="16"/>
      <c r="J26" s="16"/>
      <c r="K26" s="17"/>
    </row>
    <row r="27" ht="18.0" customHeight="1">
      <c r="A27" s="18" t="s">
        <v>15</v>
      </c>
      <c r="B27" s="16"/>
      <c r="C27" s="16"/>
      <c r="D27" s="17"/>
      <c r="E27" s="18" t="s">
        <v>15</v>
      </c>
      <c r="F27" s="16"/>
      <c r="G27" s="17"/>
      <c r="H27" s="21" t="s">
        <v>18</v>
      </c>
      <c r="I27" s="16"/>
      <c r="J27" s="16"/>
      <c r="K27" s="17"/>
    </row>
    <row r="28" ht="18.0" customHeight="1">
      <c r="A28" s="22" t="s">
        <v>32</v>
      </c>
      <c r="B28" s="16"/>
      <c r="C28" s="16"/>
      <c r="D28" s="17"/>
      <c r="E28" s="22" t="s">
        <v>32</v>
      </c>
      <c r="F28" s="16"/>
      <c r="G28" s="17"/>
      <c r="H28" s="22" t="s">
        <v>32</v>
      </c>
      <c r="I28" s="16"/>
      <c r="J28" s="16"/>
      <c r="K28" s="17"/>
    </row>
    <row r="29" ht="18.0" customHeight="1">
      <c r="A29" s="22" t="s">
        <v>33</v>
      </c>
      <c r="B29" s="16"/>
      <c r="C29" s="16"/>
      <c r="D29" s="17"/>
      <c r="E29" s="22" t="s">
        <v>33</v>
      </c>
      <c r="F29" s="16"/>
      <c r="G29" s="17"/>
      <c r="H29" s="22" t="s">
        <v>33</v>
      </c>
      <c r="I29" s="16"/>
      <c r="J29" s="16"/>
      <c r="K29" s="17"/>
    </row>
    <row r="30" ht="15.75" customHeight="1"/>
    <row r="31" ht="15.75" customHeight="1">
      <c r="A31" s="23" t="s">
        <v>34</v>
      </c>
      <c r="B31" s="16"/>
      <c r="C31" s="16"/>
      <c r="D31" s="16"/>
      <c r="E31" s="16"/>
      <c r="F31" s="16"/>
      <c r="G31" s="16"/>
      <c r="H31" s="16"/>
      <c r="I31" s="16"/>
      <c r="J31" s="16"/>
      <c r="K31" s="1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K1"/>
    <mergeCell ref="A2:K4"/>
    <mergeCell ref="A5:K6"/>
    <mergeCell ref="A7:K7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A25:K25"/>
    <mergeCell ref="E26:G26"/>
    <mergeCell ref="H26:K26"/>
    <mergeCell ref="A29:D29"/>
    <mergeCell ref="E29:G29"/>
    <mergeCell ref="H29:K29"/>
    <mergeCell ref="A31:K31"/>
    <mergeCell ref="A26:D26"/>
    <mergeCell ref="A27:D27"/>
    <mergeCell ref="E27:G27"/>
    <mergeCell ref="H27:K27"/>
    <mergeCell ref="A28:D28"/>
    <mergeCell ref="E28:G28"/>
    <mergeCell ref="H28:K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8.0"/>
    <col customWidth="1" min="4" max="4" width="12.0"/>
    <col customWidth="1" min="5" max="5" width="8.0"/>
    <col customWidth="1" min="6" max="6" width="7.0"/>
    <col customWidth="1" min="7" max="7" width="10.0"/>
    <col customWidth="1" min="8" max="8" width="20.0"/>
    <col customWidth="1" min="9" max="20" width="6.0"/>
    <col customWidth="1" min="21" max="23" width="11.0"/>
    <col customWidth="1" min="24" max="26" width="8.71"/>
  </cols>
  <sheetData>
    <row r="1" ht="6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5.75" customHeight="1">
      <c r="A2" s="24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ht="15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ht="13.5" customHeight="1">
      <c r="A4" s="25" t="s">
        <v>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3.75" customHeight="1">
      <c r="A5" s="1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</row>
    <row r="6" ht="13.5" customHeight="1">
      <c r="I6" s="26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7" t="s">
        <v>38</v>
      </c>
      <c r="V6" s="2"/>
      <c r="W6" s="3"/>
    </row>
    <row r="7" ht="25.5" customHeight="1">
      <c r="A7" s="28" t="s">
        <v>39</v>
      </c>
      <c r="B7" s="28" t="s">
        <v>40</v>
      </c>
      <c r="C7" s="28" t="s">
        <v>41</v>
      </c>
      <c r="D7" s="28" t="s">
        <v>42</v>
      </c>
      <c r="E7" s="28" t="s">
        <v>43</v>
      </c>
      <c r="F7" s="28" t="s">
        <v>44</v>
      </c>
      <c r="G7" s="28" t="s">
        <v>45</v>
      </c>
      <c r="H7" s="28" t="s">
        <v>46</v>
      </c>
      <c r="I7" s="28" t="s">
        <v>47</v>
      </c>
      <c r="J7" s="28" t="s">
        <v>48</v>
      </c>
      <c r="K7" s="28" t="s">
        <v>49</v>
      </c>
      <c r="L7" s="28" t="s">
        <v>50</v>
      </c>
      <c r="M7" s="28" t="s">
        <v>51</v>
      </c>
      <c r="N7" s="28" t="s">
        <v>52</v>
      </c>
      <c r="O7" s="28" t="s">
        <v>53</v>
      </c>
      <c r="P7" s="28" t="s">
        <v>54</v>
      </c>
      <c r="Q7" s="28" t="s">
        <v>55</v>
      </c>
      <c r="R7" s="28" t="s">
        <v>56</v>
      </c>
      <c r="S7" s="28" t="s">
        <v>57</v>
      </c>
      <c r="T7" s="28" t="s">
        <v>58</v>
      </c>
      <c r="U7" s="29" t="s">
        <v>59</v>
      </c>
      <c r="V7" s="29" t="s">
        <v>60</v>
      </c>
      <c r="W7" s="29" t="s">
        <v>61</v>
      </c>
    </row>
    <row r="8" ht="3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30.75" customHeight="1">
      <c r="A9" s="31" t="s">
        <v>62</v>
      </c>
      <c r="B9" s="32" t="s">
        <v>63</v>
      </c>
      <c r="C9" s="33" t="s">
        <v>64</v>
      </c>
      <c r="D9" s="34" t="s">
        <v>65</v>
      </c>
      <c r="E9" s="35">
        <v>72.0</v>
      </c>
      <c r="F9" s="36">
        <v>2.0</v>
      </c>
      <c r="G9" s="37" t="s">
        <v>66</v>
      </c>
      <c r="H9" s="33" t="s">
        <v>67</v>
      </c>
      <c r="I9" s="38"/>
      <c r="J9" s="38"/>
      <c r="K9" s="38"/>
      <c r="L9" s="38"/>
      <c r="M9" s="39" t="s">
        <v>68</v>
      </c>
      <c r="N9" s="38"/>
      <c r="O9" s="38"/>
      <c r="P9" s="38"/>
      <c r="Q9" s="39" t="s">
        <v>68</v>
      </c>
      <c r="R9" s="38"/>
      <c r="S9" s="38"/>
      <c r="T9" s="38"/>
      <c r="U9" s="40">
        <f t="shared" ref="U9:U17" si="1">COUNTIF(I9,"P")+COUNTIF(J9,"P")+COUNTIF(K9,"P")+COUNTIF(L9,"P")+COUNTIF(M9,"P")+COUNTIF(N9,"P")+COUNTIF(O9,"P")+COUNTIF(P9,"P")+COUNTIF(Q9,"P")+COUNTIF(R9,"P")+COUNTIF(S9,"P")+COUNTIF(T9,"P")+COUNTIF(I9,"R")+COUNTIF(J9,"R")+COUNTIF(K9,"R")+COUNTIF(L9,"R")+COUNTIF(M9,"R")+COUNTIF(N9,"R")+COUNTIF(O9,"R")+COUNTIF(P9,"R")+COUNTIF(Q9,"R")+COUNTIF(R9,"R")+COUNTIF(S9,"R")+COUNTIF(T9,"R")</f>
        <v>2</v>
      </c>
      <c r="V9" s="41">
        <f t="shared" ref="V9:V17" si="2">COUNTIF(I9,"R")+COUNTIF(J9,"R")+COUNTIF(K9,"R")+COUNTIF(L9,"R")+COUNTIF(M9,"R")+COUNTIF(N9,"R")+COUNTIF(O9,"R")+COUNTIF(P9,"R")+COUNTIF(Q9,"R")+COUNTIF(R9,"R")+COUNTIF(S9,"R")+COUNTIF(T9,"R")</f>
        <v>0</v>
      </c>
      <c r="W9" s="42" t="str">
        <f t="shared" ref="W9:W18" si="3">IF(U9=0,"N/A",TEXT(V9/U9,"0%"))</f>
        <v>0%</v>
      </c>
    </row>
    <row r="10" ht="31.5" customHeight="1">
      <c r="A10" s="43" t="s">
        <v>69</v>
      </c>
      <c r="B10" s="44" t="s">
        <v>70</v>
      </c>
      <c r="C10" s="45" t="s">
        <v>71</v>
      </c>
      <c r="D10" s="46" t="s">
        <v>72</v>
      </c>
      <c r="E10" s="47">
        <v>96.0</v>
      </c>
      <c r="F10" s="48">
        <v>2.0</v>
      </c>
      <c r="G10" s="49" t="s">
        <v>66</v>
      </c>
      <c r="H10" s="45" t="s">
        <v>67</v>
      </c>
      <c r="I10" s="50"/>
      <c r="J10" s="50"/>
      <c r="K10" s="39" t="s">
        <v>68</v>
      </c>
      <c r="L10" s="50"/>
      <c r="M10" s="50"/>
      <c r="N10" s="50"/>
      <c r="O10" s="50"/>
      <c r="P10" s="50"/>
      <c r="Q10" s="39" t="s">
        <v>68</v>
      </c>
      <c r="R10" s="50"/>
      <c r="S10" s="50"/>
      <c r="T10" s="50"/>
      <c r="U10" s="40">
        <f t="shared" si="1"/>
        <v>2</v>
      </c>
      <c r="V10" s="41">
        <f t="shared" si="2"/>
        <v>0</v>
      </c>
      <c r="W10" s="51" t="str">
        <f t="shared" si="3"/>
        <v>0%</v>
      </c>
    </row>
    <row r="11" ht="25.5" customHeight="1">
      <c r="A11" s="31" t="s">
        <v>73</v>
      </c>
      <c r="B11" s="32" t="s">
        <v>74</v>
      </c>
      <c r="C11" s="33" t="s">
        <v>75</v>
      </c>
      <c r="D11" s="46" t="s">
        <v>72</v>
      </c>
      <c r="E11" s="35">
        <v>88.0</v>
      </c>
      <c r="F11" s="36">
        <v>2.0</v>
      </c>
      <c r="G11" s="37" t="s">
        <v>66</v>
      </c>
      <c r="H11" s="33" t="s">
        <v>67</v>
      </c>
      <c r="I11" s="38"/>
      <c r="J11" s="38"/>
      <c r="K11" s="38"/>
      <c r="L11" s="39" t="s">
        <v>68</v>
      </c>
      <c r="M11" s="38"/>
      <c r="N11" s="38"/>
      <c r="O11" s="38"/>
      <c r="P11" s="38"/>
      <c r="Q11" s="38"/>
      <c r="R11" s="38"/>
      <c r="S11" s="39" t="s">
        <v>68</v>
      </c>
      <c r="T11" s="38"/>
      <c r="U11" s="40">
        <f t="shared" si="1"/>
        <v>2</v>
      </c>
      <c r="V11" s="41">
        <f t="shared" si="2"/>
        <v>0</v>
      </c>
      <c r="W11" s="42" t="str">
        <f t="shared" si="3"/>
        <v>0%</v>
      </c>
    </row>
    <row r="12" ht="25.5" customHeight="1">
      <c r="A12" s="43" t="s">
        <v>76</v>
      </c>
      <c r="B12" s="44" t="s">
        <v>77</v>
      </c>
      <c r="C12" s="45" t="s">
        <v>78</v>
      </c>
      <c r="D12" s="52" t="s">
        <v>79</v>
      </c>
      <c r="E12" s="47">
        <v>45.0</v>
      </c>
      <c r="F12" s="48">
        <v>1.0</v>
      </c>
      <c r="G12" s="49" t="s">
        <v>80</v>
      </c>
      <c r="H12" s="45" t="s">
        <v>81</v>
      </c>
      <c r="I12" s="50"/>
      <c r="J12" s="50"/>
      <c r="K12" s="50"/>
      <c r="L12" s="50"/>
      <c r="M12" s="50"/>
      <c r="N12" s="50"/>
      <c r="O12" s="39" t="s">
        <v>68</v>
      </c>
      <c r="P12" s="50"/>
      <c r="Q12" s="50"/>
      <c r="R12" s="50"/>
      <c r="S12" s="50"/>
      <c r="T12" s="50"/>
      <c r="U12" s="40">
        <f t="shared" si="1"/>
        <v>1</v>
      </c>
      <c r="V12" s="41">
        <f t="shared" si="2"/>
        <v>0</v>
      </c>
      <c r="W12" s="51" t="str">
        <f t="shared" si="3"/>
        <v>0%</v>
      </c>
    </row>
    <row r="13" ht="25.5" customHeight="1">
      <c r="A13" s="31" t="s">
        <v>82</v>
      </c>
      <c r="B13" s="32" t="s">
        <v>83</v>
      </c>
      <c r="C13" s="33" t="s">
        <v>84</v>
      </c>
      <c r="D13" s="34" t="s">
        <v>65</v>
      </c>
      <c r="E13" s="35">
        <v>56.0</v>
      </c>
      <c r="F13" s="36">
        <v>1.0</v>
      </c>
      <c r="G13" s="37" t="s">
        <v>80</v>
      </c>
      <c r="H13" s="33" t="s">
        <v>64</v>
      </c>
      <c r="I13" s="38"/>
      <c r="J13" s="38"/>
      <c r="K13" s="38"/>
      <c r="L13" s="38"/>
      <c r="M13" s="38"/>
      <c r="N13" s="39" t="s">
        <v>68</v>
      </c>
      <c r="O13" s="38"/>
      <c r="P13" s="38"/>
      <c r="Q13" s="38"/>
      <c r="R13" s="38"/>
      <c r="S13" s="38"/>
      <c r="T13" s="38"/>
      <c r="U13" s="40">
        <f t="shared" si="1"/>
        <v>1</v>
      </c>
      <c r="V13" s="41">
        <f t="shared" si="2"/>
        <v>0</v>
      </c>
      <c r="W13" s="42" t="str">
        <f t="shared" si="3"/>
        <v>0%</v>
      </c>
    </row>
    <row r="14" ht="25.5" customHeight="1">
      <c r="A14" s="43" t="s">
        <v>85</v>
      </c>
      <c r="B14" s="44" t="s">
        <v>86</v>
      </c>
      <c r="C14" s="45" t="s">
        <v>64</v>
      </c>
      <c r="D14" s="34" t="s">
        <v>65</v>
      </c>
      <c r="E14" s="47">
        <v>64.0</v>
      </c>
      <c r="F14" s="48">
        <v>2.0</v>
      </c>
      <c r="G14" s="49" t="s">
        <v>87</v>
      </c>
      <c r="H14" s="45" t="s">
        <v>67</v>
      </c>
      <c r="I14" s="50"/>
      <c r="J14" s="39" t="s">
        <v>68</v>
      </c>
      <c r="K14" s="50"/>
      <c r="L14" s="50"/>
      <c r="M14" s="50"/>
      <c r="N14" s="50"/>
      <c r="O14" s="50"/>
      <c r="P14" s="50"/>
      <c r="Q14" s="50"/>
      <c r="R14" s="39" t="s">
        <v>68</v>
      </c>
      <c r="S14" s="50"/>
      <c r="T14" s="50"/>
      <c r="U14" s="40">
        <f t="shared" si="1"/>
        <v>2</v>
      </c>
      <c r="V14" s="41">
        <f t="shared" si="2"/>
        <v>0</v>
      </c>
      <c r="W14" s="51" t="str">
        <f t="shared" si="3"/>
        <v>0%</v>
      </c>
    </row>
    <row r="15" ht="25.5" customHeight="1">
      <c r="A15" s="31" t="s">
        <v>88</v>
      </c>
      <c r="B15" s="32" t="s">
        <v>89</v>
      </c>
      <c r="C15" s="33" t="s">
        <v>90</v>
      </c>
      <c r="D15" s="46" t="s">
        <v>72</v>
      </c>
      <c r="E15" s="35">
        <v>92.0</v>
      </c>
      <c r="F15" s="36">
        <v>2.0</v>
      </c>
      <c r="G15" s="37" t="s">
        <v>66</v>
      </c>
      <c r="H15" s="33" t="s">
        <v>67</v>
      </c>
      <c r="I15" s="38"/>
      <c r="J15" s="38"/>
      <c r="K15" s="39" t="s">
        <v>68</v>
      </c>
      <c r="L15" s="38"/>
      <c r="M15" s="38"/>
      <c r="N15" s="38"/>
      <c r="O15" s="38"/>
      <c r="P15" s="38"/>
      <c r="Q15" s="38"/>
      <c r="R15" s="39" t="s">
        <v>68</v>
      </c>
      <c r="S15" s="38"/>
      <c r="T15" s="38"/>
      <c r="U15" s="40">
        <f t="shared" si="1"/>
        <v>2</v>
      </c>
      <c r="V15" s="41">
        <f t="shared" si="2"/>
        <v>0</v>
      </c>
      <c r="W15" s="42" t="str">
        <f t="shared" si="3"/>
        <v>0%</v>
      </c>
    </row>
    <row r="16" ht="25.5" customHeight="1">
      <c r="A16" s="43" t="s">
        <v>91</v>
      </c>
      <c r="B16" s="44" t="s">
        <v>92</v>
      </c>
      <c r="C16" s="45" t="s">
        <v>93</v>
      </c>
      <c r="D16" s="52" t="s">
        <v>79</v>
      </c>
      <c r="E16" s="47">
        <v>38.0</v>
      </c>
      <c r="F16" s="48">
        <v>1.0</v>
      </c>
      <c r="G16" s="49" t="s">
        <v>80</v>
      </c>
      <c r="H16" s="45" t="s">
        <v>64</v>
      </c>
      <c r="I16" s="50"/>
      <c r="J16" s="50"/>
      <c r="K16" s="50"/>
      <c r="L16" s="50"/>
      <c r="M16" s="50"/>
      <c r="N16" s="50"/>
      <c r="O16" s="50"/>
      <c r="P16" s="39" t="s">
        <v>68</v>
      </c>
      <c r="Q16" s="50"/>
      <c r="R16" s="50"/>
      <c r="S16" s="50"/>
      <c r="T16" s="50"/>
      <c r="U16" s="40">
        <f t="shared" si="1"/>
        <v>1</v>
      </c>
      <c r="V16" s="41">
        <f t="shared" si="2"/>
        <v>0</v>
      </c>
      <c r="W16" s="51" t="str">
        <f t="shared" si="3"/>
        <v>0%</v>
      </c>
    </row>
    <row r="17" ht="25.5" customHeight="1">
      <c r="A17" s="31" t="s">
        <v>94</v>
      </c>
      <c r="B17" s="32" t="s">
        <v>95</v>
      </c>
      <c r="C17" s="33" t="s">
        <v>96</v>
      </c>
      <c r="D17" s="53" t="s">
        <v>97</v>
      </c>
      <c r="E17" s="35">
        <v>25.0</v>
      </c>
      <c r="F17" s="36">
        <v>1.0</v>
      </c>
      <c r="G17" s="37" t="s">
        <v>80</v>
      </c>
      <c r="H17" s="33" t="s">
        <v>64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 t="s">
        <v>68</v>
      </c>
      <c r="T17" s="38"/>
      <c r="U17" s="40">
        <f t="shared" si="1"/>
        <v>1</v>
      </c>
      <c r="V17" s="41">
        <f t="shared" si="2"/>
        <v>0</v>
      </c>
      <c r="W17" s="42" t="str">
        <f t="shared" si="3"/>
        <v>0%</v>
      </c>
    </row>
    <row r="18" ht="21.75" customHeight="1">
      <c r="A18" s="54" t="s">
        <v>98</v>
      </c>
      <c r="B18" s="16"/>
      <c r="C18" s="17"/>
      <c r="D18" s="55"/>
      <c r="E18" s="56">
        <f t="shared" ref="E18:F18" si="4">SUM(E9:E17)</f>
        <v>576</v>
      </c>
      <c r="F18" s="56">
        <f t="shared" si="4"/>
        <v>14</v>
      </c>
      <c r="G18" s="55"/>
      <c r="H18" s="55"/>
      <c r="I18" s="56">
        <f t="shared" ref="I18:T18" si="5">COUNTA(I9:I17)</f>
        <v>0</v>
      </c>
      <c r="J18" s="56">
        <f t="shared" si="5"/>
        <v>1</v>
      </c>
      <c r="K18" s="56">
        <f t="shared" si="5"/>
        <v>2</v>
      </c>
      <c r="L18" s="56">
        <f t="shared" si="5"/>
        <v>1</v>
      </c>
      <c r="M18" s="56">
        <f t="shared" si="5"/>
        <v>1</v>
      </c>
      <c r="N18" s="56">
        <f t="shared" si="5"/>
        <v>1</v>
      </c>
      <c r="O18" s="56">
        <f t="shared" si="5"/>
        <v>1</v>
      </c>
      <c r="P18" s="56">
        <f t="shared" si="5"/>
        <v>1</v>
      </c>
      <c r="Q18" s="56">
        <f t="shared" si="5"/>
        <v>2</v>
      </c>
      <c r="R18" s="56">
        <f t="shared" si="5"/>
        <v>2</v>
      </c>
      <c r="S18" s="56">
        <f t="shared" si="5"/>
        <v>2</v>
      </c>
      <c r="T18" s="56">
        <f t="shared" si="5"/>
        <v>0</v>
      </c>
      <c r="U18" s="57">
        <f t="shared" ref="U18:V18" si="6">SUM(U9:U17)</f>
        <v>14</v>
      </c>
      <c r="V18" s="58">
        <f t="shared" si="6"/>
        <v>0</v>
      </c>
      <c r="W18" s="59" t="str">
        <f t="shared" si="3"/>
        <v>0%</v>
      </c>
    </row>
    <row r="20" ht="13.5" customHeight="1">
      <c r="A20" s="60" t="s">
        <v>99</v>
      </c>
    </row>
    <row r="21" ht="13.5" customHeight="1">
      <c r="A21" s="61" t="s">
        <v>100</v>
      </c>
    </row>
    <row r="22" ht="13.5" customHeight="1">
      <c r="A22" s="61" t="s">
        <v>101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P8"/>
    <mergeCell ref="Q7:Q8"/>
    <mergeCell ref="R7:R8"/>
    <mergeCell ref="S7:S8"/>
    <mergeCell ref="T7:T8"/>
    <mergeCell ref="U7:U8"/>
    <mergeCell ref="V7:V8"/>
    <mergeCell ref="W7:W8"/>
    <mergeCell ref="A1:T1"/>
    <mergeCell ref="A2:T3"/>
    <mergeCell ref="A4:T4"/>
    <mergeCell ref="A5:T5"/>
    <mergeCell ref="I6:T6"/>
    <mergeCell ref="U6:W6"/>
    <mergeCell ref="A7:A8"/>
    <mergeCell ref="B7:B8"/>
    <mergeCell ref="C7:C8"/>
    <mergeCell ref="A18:C18"/>
    <mergeCell ref="A20:W20"/>
    <mergeCell ref="A21:W21"/>
    <mergeCell ref="A22:W22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</mergeCells>
  <conditionalFormatting sqref="I9:T17">
    <cfRule type="cellIs" dxfId="0" priority="1" operator="equal">
      <formula>"X"</formula>
    </cfRule>
  </conditionalFormatting>
  <conditionalFormatting sqref="I9:T17">
    <cfRule type="cellIs" dxfId="1" priority="2" operator="equal">
      <formula>"R"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2026-06-07T10:57:49Z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