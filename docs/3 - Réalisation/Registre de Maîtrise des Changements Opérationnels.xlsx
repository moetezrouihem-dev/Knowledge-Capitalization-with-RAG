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mna\Downloads\"/>
    </mc:Choice>
  </mc:AlternateContent>
  <xr:revisionPtr revIDLastSave="0" documentId="13_ncr:1_{5467C3B7-B1C2-4B3B-B1B5-3861804C1994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DENTITÉ" sheetId="1" r:id="rId1"/>
    <sheet name="REGISTR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2" i="2" l="1"/>
  <c r="K12" i="2"/>
  <c r="J12" i="2"/>
  <c r="L11" i="2"/>
  <c r="L10" i="2"/>
  <c r="L9" i="2"/>
  <c r="L8" i="2"/>
  <c r="L7" i="2"/>
  <c r="L6" i="2"/>
  <c r="L5" i="2"/>
  <c r="L4" i="2"/>
</calcChain>
</file>

<file path=xl/sharedStrings.xml><?xml version="1.0" encoding="utf-8"?>
<sst xmlns="http://schemas.openxmlformats.org/spreadsheetml/2006/main" count="147" uniqueCount="117">
  <si>
    <t>Référence document :</t>
  </si>
  <si>
    <t>SMQ-FOR-OPS-01</t>
  </si>
  <si>
    <t>Version :</t>
  </si>
  <si>
    <t>V01</t>
  </si>
  <si>
    <t>Date de création :</t>
  </si>
  <si>
    <t>Mars 2026</t>
  </si>
  <si>
    <t>Statut :</t>
  </si>
  <si>
    <t>En Vigueur</t>
  </si>
  <si>
    <t>Clause ISO 9001:2015 :</t>
  </si>
  <si>
    <t>§8.1 — Planification et maîtrise opérationnelles</t>
  </si>
  <si>
    <t>PÉRIMÈTRE : BU PR1 Telco  │  BU PR2 Digital &amp; Entreprises  │  Applicable à tout fournisseur externe SFM Technologies</t>
  </si>
  <si>
    <t>Pilote SMQ / Resp. Qualité</t>
  </si>
  <si>
    <t>BU Leader / Resp. Achats</t>
  </si>
  <si>
    <t>Direction Générale</t>
  </si>
  <si>
    <t>Signature : _________________</t>
  </si>
  <si>
    <t>Date : ___/___/______</t>
  </si>
  <si>
    <t>REGISTRE DE MAÎTRISE DES CHANGEMENTS OPÉRATIONNELS  |  SMQ-FOR-OPS-01</t>
  </si>
  <si>
    <t>IDENTIFICATION DU CHANGEMENT</t>
  </si>
  <si>
    <t>ANALYSE D'IMPACT</t>
  </si>
  <si>
    <t>GOUVERNANCE</t>
  </si>
  <si>
    <t>TRAÇABILITÉ</t>
  </si>
  <si>
    <t>#</t>
  </si>
  <si>
    <t>N° Enregistrement</t>
  </si>
  <si>
    <t>Réf. Projet</t>
  </si>
  <si>
    <t>Client / Opérateur</t>
  </si>
  <si>
    <t>Nature du Changement</t>
  </si>
  <si>
    <t>BU</t>
  </si>
  <si>
    <t>Date Création</t>
  </si>
  <si>
    <t>Demandeur / CdP</t>
  </si>
  <si>
    <t>Type Changement</t>
  </si>
  <si>
    <t>Impact
Coût (€)</t>
  </si>
  <si>
    <t>Impact
Délai (j)</t>
  </si>
  <si>
    <t>CRITICITÉ
AUTO</t>
  </si>
  <si>
    <t>Approbateur</t>
  </si>
  <si>
    <t>STATUT</t>
  </si>
  <si>
    <t>Date
Clôture</t>
  </si>
  <si>
    <t>Observations / NC / Action corrective</t>
  </si>
  <si>
    <t>ENR-2026-001</t>
  </si>
  <si>
    <t>PR1-5G-042</t>
  </si>
  <si>
    <t>Orange France</t>
  </si>
  <si>
    <t>Ajout module OSS/BSS pour intégration NFV</t>
  </si>
  <si>
    <t>PR1 Telco</t>
  </si>
  <si>
    <t>03/01/2026</t>
  </si>
  <si>
    <t>A. Roussel</t>
  </si>
  <si>
    <t>Évolution de scope</t>
  </si>
  <si>
    <t>Dir. BU PR1</t>
  </si>
  <si>
    <t>✅ Approuvé</t>
  </si>
  <si>
    <t>15/01/2026</t>
  </si>
  <si>
    <t>Avenant contractuel signé — impact budget validé</t>
  </si>
  <si>
    <t>ENR-2026-002</t>
  </si>
  <si>
    <t>Remplacement équipement RAN (délai livraison fournisseur)</t>
  </si>
  <si>
    <t>10/01/2026</t>
  </si>
  <si>
    <t>Changement technique</t>
  </si>
  <si>
    <t>18/01/2026</t>
  </si>
  <si>
    <t>Fournisseur défaillant → sourcing alternatif engagé</t>
  </si>
  <si>
    <t>ENR-2026-003</t>
  </si>
  <si>
    <t>PR2-SAP-018</t>
  </si>
  <si>
    <t>SFR Business</t>
  </si>
  <si>
    <t>Migration SAP S/4HANA reportée — décision client</t>
  </si>
  <si>
    <t>PR2 Digital</t>
  </si>
  <si>
    <t>K. Mbaye</t>
  </si>
  <si>
    <t>Changement planning</t>
  </si>
  <si>
    <t>DG SFM</t>
  </si>
  <si>
    <t>⚠ En attente DG</t>
  </si>
  <si>
    <t>—</t>
  </si>
  <si>
    <t>Arbitrage DG attendu avant reprise jalons</t>
  </si>
  <si>
    <t>ENR-2026-004</t>
  </si>
  <si>
    <t>PR2-CLOUD-031</t>
  </si>
  <si>
    <t>Bouygues Telecom</t>
  </si>
  <si>
    <t>Passage Azure Standard → Premium (SLA 99,99%)</t>
  </si>
  <si>
    <t>22/01/2026</t>
  </si>
  <si>
    <t>L. Fontaine</t>
  </si>
  <si>
    <t>Dir. BU PR2</t>
  </si>
  <si>
    <t>30/01/2026</t>
  </si>
  <si>
    <t>Upgrade validé — PO émis</t>
  </si>
  <si>
    <t>ENR-2026-005</t>
  </si>
  <si>
    <t>PR3-FORM-009</t>
  </si>
  <si>
    <t>Axione</t>
  </si>
  <si>
    <t>Ajout module 5G SA dans parcours formation</t>
  </si>
  <si>
    <t>PR3 Formation</t>
  </si>
  <si>
    <t>28/01/2026</t>
  </si>
  <si>
    <t>N. Toure</t>
  </si>
  <si>
    <t>Dir. BU PR3</t>
  </si>
  <si>
    <t>02/02/2026</t>
  </si>
  <si>
    <t>Module certif. 5G SA intégré au catalogue formation</t>
  </si>
  <si>
    <t>ENR-2026-006</t>
  </si>
  <si>
    <t>PR1-IOT-055</t>
  </si>
  <si>
    <t>Free Mobile</t>
  </si>
  <si>
    <t>NC critique : Firmware IoT non conforme spec V2.3</t>
  </si>
  <si>
    <t>05/02/2026</t>
  </si>
  <si>
    <t>M. Caron</t>
  </si>
  <si>
    <t>Correction NC majeure</t>
  </si>
  <si>
    <t>⛔ Refusé</t>
  </si>
  <si>
    <t>NC ouverte SMQ-FOR-NC-001 — plan remédiation 72h</t>
  </si>
  <si>
    <t>ENR-2026-007</t>
  </si>
  <si>
    <t>PR2-BI-022</t>
  </si>
  <si>
    <t>Transatel</t>
  </si>
  <si>
    <t>Refonte dashboard Power BI — changement périmètre data</t>
  </si>
  <si>
    <t>12/02/2026</t>
  </si>
  <si>
    <t>Données RGPD recartographiées — DPA mis à jour</t>
  </si>
  <si>
    <t>ENR-2026-008</t>
  </si>
  <si>
    <t>PR1-5G-061</t>
  </si>
  <si>
    <t>Iliad Group</t>
  </si>
  <si>
    <t>Déploiement anticipé nœuds 5G SA (demande client)</t>
  </si>
  <si>
    <t>20/02/2026</t>
  </si>
  <si>
    <t>28/02/2026</t>
  </si>
  <si>
    <t>Planning révisé — client notifié J-5</t>
  </si>
  <si>
    <t>TOTAUX / SYNTHÈSE :</t>
  </si>
  <si>
    <t>LÉGENDE   |   🔴 CRITIQUE : délai ≥ 15j ou coût ≥ 20k€   |   🟠 MAJEURE : délai ≥ 7j ou coût ≥ 5k€   |   🟢 MINEURE : impact limité   |   Statut vert = Approuvé  |  Orange = En attente DG  |  Rouge = Refusé</t>
  </si>
  <si>
    <t>RÉDIGÉ PAR</t>
  </si>
  <si>
    <t>VÉRIFIÉ PAR</t>
  </si>
  <si>
    <t>APPROUVÉ PAR</t>
  </si>
  <si>
    <t>Pilote SMQ / Resp. Qualité
Signature : __________________
Date : ___/___/______</t>
  </si>
  <si>
    <t>BU Leaders
Signature : __________________
Date : ___/___/______</t>
  </si>
  <si>
    <t>Direction Générale
Signature : __________________
Date : ___/___/______</t>
  </si>
  <si>
    <r>
      <rPr>
        <b/>
        <sz val="13"/>
        <color theme="3"/>
        <rFont val="Calibri"/>
        <family val="2"/>
      </rPr>
      <t>SYSTÈME DE MANAGEMENT DE LA QUALITÉ</t>
    </r>
    <r>
      <rPr>
        <b/>
        <sz val="13"/>
        <rFont val="Calibri"/>
        <family val="2"/>
      </rPr>
      <t xml:space="preserve">
REGISTRE DE MAÎTRISE DES CHANGEMENTS OPÉRATIONNELS</t>
    </r>
  </si>
  <si>
    <r>
      <t xml:space="preserve">Réf. : SMQ-FOR-OPS-01
Version : V01
Date : Mai 2026
</t>
    </r>
    <r>
      <rPr>
        <b/>
        <sz val="11"/>
        <color theme="9"/>
        <rFont val="Calibri"/>
        <family val="2"/>
      </rPr>
      <t>Statut : En vigueur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</si>
</sst>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;\-"/>
  </numFmts>
  <fonts count="16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9"/>
      <color rgb="FF1F2D3D"/>
      <name val="Arial"/>
      <family val="2"/>
    </font>
    <font>
      <sz val="9"/>
      <color rgb="FF1F2D3D"/>
      <name val="Arial"/>
      <family val="2"/>
    </font>
    <font>
      <i/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i/>
      <sz val="8"/>
      <color rgb="FF1F2D3D"/>
      <name val="Arial"/>
      <family val="2"/>
    </font>
    <font>
      <b/>
      <sz val="13"/>
      <name val="Calibri"/>
      <family val="2"/>
    </font>
    <font>
      <b/>
      <sz val="13"/>
      <color theme="3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b/>
      <sz val="11"/>
      <color theme="9"/>
      <name val="Calibri"/>
      <family val="2"/>
    </font>
    <font>
      <sz val="10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007A7C"/>
        <bgColor rgb="FF0066CC"/>
      </patternFill>
    </fill>
    <fill>
      <patternFill patternType="solid">
        <fgColor rgb="FFD9E1EA"/>
        <bgColor rgb="FFF2F6F9"/>
      </patternFill>
    </fill>
    <fill>
      <patternFill patternType="solid">
        <fgColor rgb="FF00A9A5"/>
        <bgColor rgb="FF27AE60"/>
      </patternFill>
    </fill>
    <fill>
      <patternFill patternType="solid">
        <fgColor rgb="FFE87722"/>
        <bgColor rgb="FFFF9900"/>
      </patternFill>
    </fill>
    <fill>
      <patternFill patternType="solid">
        <fgColor rgb="FF1F2D3D"/>
        <bgColor rgb="FF003366"/>
      </patternFill>
    </fill>
    <fill>
      <patternFill patternType="solid">
        <fgColor rgb="FFF2F6F9"/>
        <bgColor rgb="FFFFFFFF"/>
      </patternFill>
    </fill>
    <fill>
      <patternFill patternType="solid">
        <fgColor rgb="FFFFFFFF"/>
        <bgColor rgb="FFF2F6F9"/>
      </patternFill>
    </fill>
    <fill>
      <patternFill patternType="solid">
        <fgColor rgb="FFE9ECEF"/>
      </patternFill>
    </fill>
    <fill>
      <patternFill patternType="solid">
        <fgColor rgb="FF1F4068"/>
      </patternFill>
    </fill>
    <fill>
      <patternFill patternType="solid">
        <fgColor rgb="FF0F7F8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9" fillId="3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right" vertical="center"/>
    </xf>
    <xf numFmtId="0" fontId="5" fillId="6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3" fillId="3" borderId="2" xfId="0" applyFont="1" applyFill="1" applyBorder="1" applyAlignment="1">
      <alignment horizontal="left" vertical="center" indent="1"/>
    </xf>
    <xf numFmtId="0" fontId="5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indent="1"/>
    </xf>
    <xf numFmtId="0" fontId="0" fillId="3" borderId="1" xfId="0" applyFill="1" applyBorder="1"/>
    <xf numFmtId="0" fontId="6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 indent="1"/>
    </xf>
    <xf numFmtId="164" fontId="3" fillId="7" borderId="1" xfId="0" applyNumberFormat="1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 inden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 wrapText="1" indent="1"/>
    </xf>
    <xf numFmtId="164" fontId="3" fillId="8" borderId="1" xfId="0" applyNumberFormat="1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 indent="1"/>
    </xf>
    <xf numFmtId="164" fontId="5" fillId="2" borderId="1" xfId="0" applyNumberFormat="1" applyFont="1" applyFill="1" applyBorder="1" applyAlignment="1">
      <alignment horizontal="center" vertical="center"/>
    </xf>
    <xf numFmtId="0" fontId="0" fillId="9" borderId="1" xfId="0" applyFill="1" applyBorder="1"/>
    <xf numFmtId="0" fontId="10" fillId="9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/>
    </xf>
    <xf numFmtId="0" fontId="0" fillId="0" borderId="0" xfId="0"/>
    <xf numFmtId="0" fontId="12" fillId="11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5" fillId="0" borderId="0" xfId="0" applyFont="1"/>
  </cellXfs>
  <cellStyles count="1">
    <cellStyle name="Normal" xfId="0" builtinId="0"/>
  </cellStyles>
  <dxfs count="6">
    <dxf>
      <font>
        <b/>
        <sz val="9"/>
        <color rgb="FFFFFFFF"/>
        <name val="Arial"/>
        <charset val="1"/>
      </font>
      <fill>
        <patternFill>
          <bgColor rgb="FF27AE60"/>
        </patternFill>
      </fill>
    </dxf>
    <dxf>
      <font>
        <b/>
        <sz val="9"/>
        <color rgb="FFFFFFFF"/>
        <name val="Arial"/>
        <charset val="1"/>
      </font>
      <fill>
        <patternFill>
          <bgColor rgb="FFE87722"/>
        </patternFill>
      </fill>
    </dxf>
    <dxf>
      <font>
        <b/>
        <sz val="9"/>
        <color rgb="FFFFFFFF"/>
        <name val="Arial"/>
        <charset val="1"/>
      </font>
      <fill>
        <patternFill>
          <bgColor rgb="FFC0392B"/>
        </patternFill>
      </fill>
    </dxf>
    <dxf>
      <font>
        <b/>
        <sz val="9"/>
        <color rgb="FFFFFFFF"/>
        <name val="Arial"/>
        <charset val="1"/>
      </font>
      <fill>
        <patternFill>
          <bgColor rgb="FFC0392B"/>
        </patternFill>
      </fill>
    </dxf>
    <dxf>
      <font>
        <b/>
        <sz val="9"/>
        <color rgb="FFFFFFFF"/>
        <name val="Arial"/>
        <charset val="1"/>
      </font>
      <fill>
        <patternFill>
          <bgColor rgb="FFE87722"/>
        </patternFill>
      </fill>
    </dxf>
    <dxf>
      <font>
        <b/>
        <sz val="9"/>
        <color rgb="FFFFFFFF"/>
        <name val="Arial"/>
        <charset val="1"/>
      </font>
      <fill>
        <patternFill>
          <bgColor rgb="FF27AE6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A7C"/>
      <rgbColor rgb="FFC0C0C0"/>
      <rgbColor rgb="FF808080"/>
      <rgbColor rgb="FF9999FF"/>
      <rgbColor rgb="FF993366"/>
      <rgbColor rgb="FFF2F6F9"/>
      <rgbColor rgb="FFCCFFFF"/>
      <rgbColor rgb="FF660066"/>
      <rgbColor rgb="FFFF8080"/>
      <rgbColor rgb="FF0066CC"/>
      <rgbColor rgb="FFD9E1EA"/>
      <rgbColor rgb="FF000080"/>
      <rgbColor rgb="FFFF00FF"/>
      <rgbColor rgb="FFFFFF00"/>
      <rgbColor rgb="FF00FFFF"/>
      <rgbColor rgb="FF800080"/>
      <rgbColor rgb="FF800000"/>
      <rgbColor rgb="FF00A9A5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7722"/>
      <rgbColor rgb="FF666699"/>
      <rgbColor rgb="FF969696"/>
      <rgbColor rgb="FF003366"/>
      <rgbColor rgb="FF27AE60"/>
      <rgbColor rgb="FF003300"/>
      <rgbColor rgb="FF333300"/>
      <rgbColor rgb="FFC0392B"/>
      <rgbColor rgb="FF993366"/>
      <rgbColor rgb="FF333399"/>
      <rgbColor rgb="FF1F2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</xdr:rowOff>
    </xdr:from>
    <xdr:ext cx="1463040" cy="63246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11A167D-629F-4F16-984A-2A40015B7857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"/>
          <a:ext cx="1463040" cy="6324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zoomScaleNormal="100" workbookViewId="0">
      <selection activeCell="J8" sqref="J8"/>
    </sheetView>
  </sheetViews>
  <sheetFormatPr baseColWidth="10" defaultColWidth="8.6640625" defaultRowHeight="14.4" x14ac:dyDescent="0.3"/>
  <cols>
    <col min="1" max="1" width="19.33203125" customWidth="1"/>
    <col min="2" max="2" width="3.6640625" customWidth="1"/>
    <col min="3" max="5" width="22" customWidth="1"/>
    <col min="8" max="8" width="14.44140625" customWidth="1"/>
  </cols>
  <sheetData>
    <row r="1" spans="1:8" ht="13.5" customHeight="1" x14ac:dyDescent="0.3">
      <c r="A1" s="32"/>
      <c r="B1" s="32"/>
      <c r="C1" s="33" t="s">
        <v>115</v>
      </c>
      <c r="D1" s="32"/>
      <c r="E1" s="32"/>
      <c r="F1" s="32"/>
      <c r="G1" s="39" t="s">
        <v>116</v>
      </c>
      <c r="H1" s="32"/>
    </row>
    <row r="2" spans="1:8" ht="45.75" customHeight="1" x14ac:dyDescent="0.3">
      <c r="A2" s="32"/>
      <c r="B2" s="32"/>
      <c r="C2" s="32"/>
      <c r="D2" s="32"/>
      <c r="E2" s="32"/>
      <c r="F2" s="32"/>
      <c r="G2" s="32"/>
      <c r="H2" s="32"/>
    </row>
    <row r="3" spans="1:8" ht="19.8" customHeight="1" x14ac:dyDescent="0.3">
      <c r="A3" s="34" t="s">
        <v>109</v>
      </c>
      <c r="B3" s="35"/>
      <c r="C3" s="36" t="s">
        <v>110</v>
      </c>
      <c r="D3" s="35"/>
      <c r="E3" s="35"/>
      <c r="F3" s="35"/>
      <c r="G3" s="34" t="s">
        <v>111</v>
      </c>
      <c r="H3" s="35"/>
    </row>
    <row r="4" spans="1:8" ht="54.6" customHeight="1" x14ac:dyDescent="0.3">
      <c r="A4" s="40" t="s">
        <v>112</v>
      </c>
      <c r="B4" s="41"/>
      <c r="C4" s="40" t="s">
        <v>113</v>
      </c>
      <c r="D4" s="41"/>
      <c r="E4" s="41"/>
      <c r="F4" s="41"/>
      <c r="G4" s="40" t="s">
        <v>114</v>
      </c>
      <c r="H4" s="41"/>
    </row>
    <row r="5" spans="1:8" ht="13.5" customHeight="1" x14ac:dyDescent="0.3"/>
    <row r="6" spans="1:8" ht="19.5" customHeight="1" x14ac:dyDescent="0.3">
      <c r="A6" s="12" t="s">
        <v>0</v>
      </c>
      <c r="B6" s="11" t="s">
        <v>1</v>
      </c>
      <c r="C6" s="11"/>
      <c r="D6" s="11"/>
      <c r="E6" s="11"/>
    </row>
    <row r="7" spans="1:8" ht="19.5" customHeight="1" x14ac:dyDescent="0.3">
      <c r="A7" s="12" t="s">
        <v>2</v>
      </c>
      <c r="B7" s="11" t="s">
        <v>3</v>
      </c>
      <c r="C7" s="11"/>
      <c r="D7" s="11"/>
      <c r="E7" s="11"/>
    </row>
    <row r="8" spans="1:8" ht="19.5" customHeight="1" x14ac:dyDescent="0.3">
      <c r="A8" s="12" t="s">
        <v>4</v>
      </c>
      <c r="B8" s="11" t="s">
        <v>5</v>
      </c>
      <c r="C8" s="11"/>
      <c r="D8" s="11"/>
      <c r="E8" s="11"/>
    </row>
    <row r="9" spans="1:8" ht="19.5" customHeight="1" x14ac:dyDescent="0.3">
      <c r="A9" s="12" t="s">
        <v>6</v>
      </c>
      <c r="B9" s="11" t="s">
        <v>7</v>
      </c>
      <c r="C9" s="11"/>
      <c r="D9" s="11"/>
      <c r="E9" s="11"/>
    </row>
    <row r="10" spans="1:8" ht="19.5" customHeight="1" x14ac:dyDescent="0.3">
      <c r="A10" s="12" t="s">
        <v>8</v>
      </c>
      <c r="B10" s="11" t="s">
        <v>9</v>
      </c>
      <c r="C10" s="11"/>
      <c r="D10" s="11"/>
      <c r="E10" s="11"/>
    </row>
    <row r="11" spans="1:8" ht="24" customHeight="1" x14ac:dyDescent="0.3">
      <c r="A11" s="37" t="s">
        <v>10</v>
      </c>
      <c r="B11" s="38"/>
      <c r="C11" s="38"/>
      <c r="D11" s="38"/>
      <c r="E11" s="38"/>
      <c r="F11" s="38"/>
      <c r="G11" s="38"/>
      <c r="H11" s="38"/>
    </row>
    <row r="12" spans="1:8" ht="21.75" customHeight="1" x14ac:dyDescent="0.3"/>
    <row r="13" spans="1:8" ht="18" customHeight="1" x14ac:dyDescent="0.3">
      <c r="A13" s="10" t="s">
        <v>11</v>
      </c>
      <c r="B13" s="10"/>
      <c r="C13" s="10" t="s">
        <v>12</v>
      </c>
      <c r="D13" s="10"/>
      <c r="E13" s="13" t="s">
        <v>13</v>
      </c>
    </row>
    <row r="14" spans="1:8" ht="18" customHeight="1" x14ac:dyDescent="0.3">
      <c r="A14" s="9" t="s">
        <v>14</v>
      </c>
      <c r="B14" s="9"/>
      <c r="C14" s="9" t="s">
        <v>14</v>
      </c>
      <c r="D14" s="9"/>
      <c r="E14" s="14" t="s">
        <v>14</v>
      </c>
    </row>
    <row r="15" spans="1:8" ht="18" customHeight="1" x14ac:dyDescent="0.3">
      <c r="A15" s="9" t="s">
        <v>15</v>
      </c>
      <c r="B15" s="9"/>
      <c r="C15" s="9" t="s">
        <v>15</v>
      </c>
      <c r="D15" s="9"/>
      <c r="E15" s="14" t="s">
        <v>15</v>
      </c>
    </row>
    <row r="16" spans="1:8" ht="18" customHeight="1" x14ac:dyDescent="0.3">
      <c r="A16" s="8"/>
      <c r="B16" s="8"/>
      <c r="C16" s="8"/>
      <c r="D16" s="8"/>
      <c r="E16" s="15"/>
    </row>
  </sheetData>
  <mergeCells count="23">
    <mergeCell ref="G1:H2"/>
    <mergeCell ref="A3:B3"/>
    <mergeCell ref="C3:F3"/>
    <mergeCell ref="G3:H3"/>
    <mergeCell ref="A4:B4"/>
    <mergeCell ref="C4:F4"/>
    <mergeCell ref="G4:H4"/>
    <mergeCell ref="A14:B14"/>
    <mergeCell ref="C14:D14"/>
    <mergeCell ref="A15:B15"/>
    <mergeCell ref="C15:D15"/>
    <mergeCell ref="A16:B16"/>
    <mergeCell ref="C16:D16"/>
    <mergeCell ref="B9:E9"/>
    <mergeCell ref="B10:E10"/>
    <mergeCell ref="A13:B13"/>
    <mergeCell ref="C13:D13"/>
    <mergeCell ref="A11:H11"/>
    <mergeCell ref="B6:E6"/>
    <mergeCell ref="B7:E7"/>
    <mergeCell ref="B8:E8"/>
    <mergeCell ref="A1:B2"/>
    <mergeCell ref="C1:F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showGridLines="0" tabSelected="1" zoomScaleNormal="100" workbookViewId="0">
      <pane ySplit="3" topLeftCell="A4" activePane="bottomLeft" state="frozen"/>
      <selection pane="bottomLeft" sqref="A1:P1"/>
    </sheetView>
  </sheetViews>
  <sheetFormatPr baseColWidth="10" defaultColWidth="8.6640625" defaultRowHeight="14.4" x14ac:dyDescent="0.3"/>
  <cols>
    <col min="1" max="1" width="8" customWidth="1"/>
    <col min="2" max="3" width="18" customWidth="1"/>
    <col min="4" max="4" width="22" customWidth="1"/>
    <col min="5" max="5" width="30" customWidth="1"/>
    <col min="6" max="6" width="14" customWidth="1"/>
    <col min="7" max="7" width="13" customWidth="1"/>
    <col min="8" max="8" width="14" customWidth="1"/>
    <col min="9" max="9" width="16" customWidth="1"/>
    <col min="10" max="11" width="14" customWidth="1"/>
    <col min="12" max="12" width="13" customWidth="1"/>
    <col min="13" max="13" width="18" customWidth="1"/>
    <col min="14" max="14" width="16" customWidth="1"/>
    <col min="15" max="15" width="13" customWidth="1"/>
    <col min="16" max="16" width="30" customWidth="1"/>
  </cols>
  <sheetData>
    <row r="1" spans="1:16" ht="36" customHeight="1" x14ac:dyDescent="0.3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ht="19.5" customHeight="1" x14ac:dyDescent="0.3">
      <c r="A2" s="6" t="s">
        <v>17</v>
      </c>
      <c r="B2" s="6"/>
      <c r="C2" s="6"/>
      <c r="D2" s="6"/>
      <c r="E2" s="6"/>
      <c r="F2" s="6"/>
      <c r="G2" s="6"/>
      <c r="H2" s="6"/>
      <c r="I2" s="6"/>
      <c r="J2" s="5" t="s">
        <v>18</v>
      </c>
      <c r="K2" s="5"/>
      <c r="L2" s="5"/>
      <c r="M2" s="4" t="s">
        <v>19</v>
      </c>
      <c r="N2" s="4"/>
      <c r="O2" s="4"/>
      <c r="P2" s="13" t="s">
        <v>20</v>
      </c>
    </row>
    <row r="3" spans="1:16" ht="43.5" customHeight="1" x14ac:dyDescent="0.3">
      <c r="A3" s="16" t="s">
        <v>21</v>
      </c>
      <c r="B3" s="16" t="s">
        <v>22</v>
      </c>
      <c r="C3" s="16" t="s">
        <v>23</v>
      </c>
      <c r="D3" s="16" t="s">
        <v>24</v>
      </c>
      <c r="E3" s="16" t="s">
        <v>25</v>
      </c>
      <c r="F3" s="16" t="s">
        <v>26</v>
      </c>
      <c r="G3" s="16" t="s">
        <v>27</v>
      </c>
      <c r="H3" s="16" t="s">
        <v>28</v>
      </c>
      <c r="I3" s="16" t="s">
        <v>29</v>
      </c>
      <c r="J3" s="16" t="s">
        <v>30</v>
      </c>
      <c r="K3" s="16" t="s">
        <v>31</v>
      </c>
      <c r="L3" s="16" t="s">
        <v>32</v>
      </c>
      <c r="M3" s="16" t="s">
        <v>33</v>
      </c>
      <c r="N3" s="16" t="s">
        <v>34</v>
      </c>
      <c r="O3" s="16" t="s">
        <v>35</v>
      </c>
      <c r="P3" s="16" t="s">
        <v>36</v>
      </c>
    </row>
    <row r="4" spans="1:16" ht="24" customHeight="1" x14ac:dyDescent="0.3">
      <c r="A4" s="17">
        <v>1</v>
      </c>
      <c r="B4" s="18" t="s">
        <v>37</v>
      </c>
      <c r="C4" s="18" t="s">
        <v>38</v>
      </c>
      <c r="D4" s="18" t="s">
        <v>39</v>
      </c>
      <c r="E4" s="18" t="s">
        <v>40</v>
      </c>
      <c r="F4" s="17" t="s">
        <v>41</v>
      </c>
      <c r="G4" s="17" t="s">
        <v>42</v>
      </c>
      <c r="H4" s="18" t="s">
        <v>43</v>
      </c>
      <c r="I4" s="17" t="s">
        <v>44</v>
      </c>
      <c r="J4" s="19">
        <v>45000</v>
      </c>
      <c r="K4" s="19">
        <v>12</v>
      </c>
      <c r="L4" s="20" t="str">
        <f t="shared" ref="L4:L11" si="0">IF(OR(ABS(K4)&gt;=15,J4&gt;=20000),"🔴 CRITIQUE",IF(OR(ABS(K4)&gt;=7,J4&gt;=5000),"🟠 MAJEURE","🟢 MINEURE"))</f>
        <v>🔴 CRITIQUE</v>
      </c>
      <c r="M4" s="21" t="s">
        <v>45</v>
      </c>
      <c r="N4" s="22" t="s">
        <v>46</v>
      </c>
      <c r="O4" s="21" t="s">
        <v>47</v>
      </c>
      <c r="P4" s="23" t="s">
        <v>48</v>
      </c>
    </row>
    <row r="5" spans="1:16" ht="24" customHeight="1" x14ac:dyDescent="0.3">
      <c r="A5" s="24">
        <v>2</v>
      </c>
      <c r="B5" s="25" t="s">
        <v>49</v>
      </c>
      <c r="C5" s="25" t="s">
        <v>38</v>
      </c>
      <c r="D5" s="25" t="s">
        <v>39</v>
      </c>
      <c r="E5" s="25" t="s">
        <v>50</v>
      </c>
      <c r="F5" s="24" t="s">
        <v>41</v>
      </c>
      <c r="G5" s="24" t="s">
        <v>51</v>
      </c>
      <c r="H5" s="25" t="s">
        <v>43</v>
      </c>
      <c r="I5" s="24" t="s">
        <v>52</v>
      </c>
      <c r="J5" s="26">
        <v>0</v>
      </c>
      <c r="K5" s="26">
        <v>5</v>
      </c>
      <c r="L5" s="27" t="str">
        <f t="shared" si="0"/>
        <v>🟢 MINEURE</v>
      </c>
      <c r="M5" s="28" t="s">
        <v>45</v>
      </c>
      <c r="N5" s="29" t="s">
        <v>46</v>
      </c>
      <c r="O5" s="28" t="s">
        <v>53</v>
      </c>
      <c r="P5" s="30" t="s">
        <v>54</v>
      </c>
    </row>
    <row r="6" spans="1:16" ht="24" customHeight="1" x14ac:dyDescent="0.3">
      <c r="A6" s="17">
        <v>3</v>
      </c>
      <c r="B6" s="18" t="s">
        <v>55</v>
      </c>
      <c r="C6" s="18" t="s">
        <v>56</v>
      </c>
      <c r="D6" s="18" t="s">
        <v>57</v>
      </c>
      <c r="E6" s="18" t="s">
        <v>58</v>
      </c>
      <c r="F6" s="17" t="s">
        <v>59</v>
      </c>
      <c r="G6" s="17" t="s">
        <v>47</v>
      </c>
      <c r="H6" s="18" t="s">
        <v>60</v>
      </c>
      <c r="I6" s="17" t="s">
        <v>61</v>
      </c>
      <c r="J6" s="19">
        <v>0</v>
      </c>
      <c r="K6" s="19">
        <v>21</v>
      </c>
      <c r="L6" s="20" t="str">
        <f t="shared" si="0"/>
        <v>🔴 CRITIQUE</v>
      </c>
      <c r="M6" s="21" t="s">
        <v>62</v>
      </c>
      <c r="N6" s="22" t="s">
        <v>63</v>
      </c>
      <c r="O6" s="21" t="s">
        <v>64</v>
      </c>
      <c r="P6" s="23" t="s">
        <v>65</v>
      </c>
    </row>
    <row r="7" spans="1:16" ht="24" customHeight="1" x14ac:dyDescent="0.3">
      <c r="A7" s="24">
        <v>4</v>
      </c>
      <c r="B7" s="25" t="s">
        <v>66</v>
      </c>
      <c r="C7" s="25" t="s">
        <v>67</v>
      </c>
      <c r="D7" s="25" t="s">
        <v>68</v>
      </c>
      <c r="E7" s="25" t="s">
        <v>69</v>
      </c>
      <c r="F7" s="24" t="s">
        <v>59</v>
      </c>
      <c r="G7" s="24" t="s">
        <v>70</v>
      </c>
      <c r="H7" s="25" t="s">
        <v>71</v>
      </c>
      <c r="I7" s="24" t="s">
        <v>44</v>
      </c>
      <c r="J7" s="26">
        <v>8500</v>
      </c>
      <c r="K7" s="26">
        <v>0</v>
      </c>
      <c r="L7" s="27" t="str">
        <f t="shared" si="0"/>
        <v>🟠 MAJEURE</v>
      </c>
      <c r="M7" s="28" t="s">
        <v>72</v>
      </c>
      <c r="N7" s="29" t="s">
        <v>46</v>
      </c>
      <c r="O7" s="28" t="s">
        <v>73</v>
      </c>
      <c r="P7" s="30" t="s">
        <v>74</v>
      </c>
    </row>
    <row r="8" spans="1:16" ht="24" customHeight="1" x14ac:dyDescent="0.3">
      <c r="A8" s="17">
        <v>5</v>
      </c>
      <c r="B8" s="18" t="s">
        <v>75</v>
      </c>
      <c r="C8" s="18" t="s">
        <v>76</v>
      </c>
      <c r="D8" s="18" t="s">
        <v>77</v>
      </c>
      <c r="E8" s="18" t="s">
        <v>78</v>
      </c>
      <c r="F8" s="17" t="s">
        <v>79</v>
      </c>
      <c r="G8" s="17" t="s">
        <v>80</v>
      </c>
      <c r="H8" s="18" t="s">
        <v>81</v>
      </c>
      <c r="I8" s="17" t="s">
        <v>44</v>
      </c>
      <c r="J8" s="19">
        <v>3200</v>
      </c>
      <c r="K8" s="19">
        <v>3</v>
      </c>
      <c r="L8" s="20" t="str">
        <f t="shared" si="0"/>
        <v>🟢 MINEURE</v>
      </c>
      <c r="M8" s="21" t="s">
        <v>82</v>
      </c>
      <c r="N8" s="22" t="s">
        <v>46</v>
      </c>
      <c r="O8" s="21" t="s">
        <v>83</v>
      </c>
      <c r="P8" s="23" t="s">
        <v>84</v>
      </c>
    </row>
    <row r="9" spans="1:16" ht="24" customHeight="1" x14ac:dyDescent="0.3">
      <c r="A9" s="24">
        <v>6</v>
      </c>
      <c r="B9" s="25" t="s">
        <v>85</v>
      </c>
      <c r="C9" s="25" t="s">
        <v>86</v>
      </c>
      <c r="D9" s="25" t="s">
        <v>87</v>
      </c>
      <c r="E9" s="25" t="s">
        <v>88</v>
      </c>
      <c r="F9" s="24" t="s">
        <v>41</v>
      </c>
      <c r="G9" s="24" t="s">
        <v>89</v>
      </c>
      <c r="H9" s="25" t="s">
        <v>90</v>
      </c>
      <c r="I9" s="24" t="s">
        <v>91</v>
      </c>
      <c r="J9" s="26">
        <v>12000</v>
      </c>
      <c r="K9" s="26">
        <v>8</v>
      </c>
      <c r="L9" s="27" t="str">
        <f t="shared" si="0"/>
        <v>🟠 MAJEURE</v>
      </c>
      <c r="M9" s="28" t="s">
        <v>45</v>
      </c>
      <c r="N9" s="29" t="s">
        <v>92</v>
      </c>
      <c r="O9" s="28" t="s">
        <v>64</v>
      </c>
      <c r="P9" s="30" t="s">
        <v>93</v>
      </c>
    </row>
    <row r="10" spans="1:16" ht="24" customHeight="1" x14ac:dyDescent="0.3">
      <c r="A10" s="17">
        <v>7</v>
      </c>
      <c r="B10" s="18" t="s">
        <v>94</v>
      </c>
      <c r="C10" s="18" t="s">
        <v>95</v>
      </c>
      <c r="D10" s="18" t="s">
        <v>96</v>
      </c>
      <c r="E10" s="18" t="s">
        <v>97</v>
      </c>
      <c r="F10" s="17" t="s">
        <v>59</v>
      </c>
      <c r="G10" s="17" t="s">
        <v>98</v>
      </c>
      <c r="H10" s="18" t="s">
        <v>60</v>
      </c>
      <c r="I10" s="17" t="s">
        <v>44</v>
      </c>
      <c r="J10" s="19">
        <v>6000</v>
      </c>
      <c r="K10" s="19">
        <v>4</v>
      </c>
      <c r="L10" s="20" t="str">
        <f t="shared" si="0"/>
        <v>🟠 MAJEURE</v>
      </c>
      <c r="M10" s="21" t="s">
        <v>62</v>
      </c>
      <c r="N10" s="22" t="s">
        <v>63</v>
      </c>
      <c r="O10" s="21" t="s">
        <v>64</v>
      </c>
      <c r="P10" s="23" t="s">
        <v>99</v>
      </c>
    </row>
    <row r="11" spans="1:16" ht="24" customHeight="1" x14ac:dyDescent="0.3">
      <c r="A11" s="24">
        <v>8</v>
      </c>
      <c r="B11" s="25" t="s">
        <v>100</v>
      </c>
      <c r="C11" s="25" t="s">
        <v>101</v>
      </c>
      <c r="D11" s="25" t="s">
        <v>102</v>
      </c>
      <c r="E11" s="25" t="s">
        <v>103</v>
      </c>
      <c r="F11" s="24" t="s">
        <v>41</v>
      </c>
      <c r="G11" s="24" t="s">
        <v>104</v>
      </c>
      <c r="H11" s="25" t="s">
        <v>43</v>
      </c>
      <c r="I11" s="24" t="s">
        <v>61</v>
      </c>
      <c r="J11" s="26">
        <v>-5000</v>
      </c>
      <c r="K11" s="26">
        <v>-3</v>
      </c>
      <c r="L11" s="27" t="str">
        <f t="shared" si="0"/>
        <v>🟢 MINEURE</v>
      </c>
      <c r="M11" s="28" t="s">
        <v>45</v>
      </c>
      <c r="N11" s="29" t="s">
        <v>46</v>
      </c>
      <c r="O11" s="28" t="s">
        <v>105</v>
      </c>
      <c r="P11" s="30" t="s">
        <v>106</v>
      </c>
    </row>
    <row r="12" spans="1:16" ht="21.75" customHeight="1" x14ac:dyDescent="0.3">
      <c r="A12" s="3" t="s">
        <v>107</v>
      </c>
      <c r="B12" s="3"/>
      <c r="C12" s="3"/>
      <c r="D12" s="3"/>
      <c r="E12" s="3"/>
      <c r="F12" s="3"/>
      <c r="G12" s="3"/>
      <c r="H12" s="3"/>
      <c r="I12" s="3"/>
      <c r="J12" s="31">
        <f>IFERROR(SUM(J4:J11),"")</f>
        <v>69700</v>
      </c>
      <c r="K12" s="31">
        <f>IFERROR(SUM(K4:K11),"")</f>
        <v>50</v>
      </c>
      <c r="L12" s="2" t="str">
        <f>COUNTIF(N4:N11,"*Approuvé*")&amp;" approuvés  |  "&amp;COUNTIF(N4:N11,"*attente*")&amp;" en attente  |  "&amp;COUNTIF(N4:N11,"*Refusé*")&amp;" refusés"</f>
        <v>5 approuvés  |  2 en attente  |  1 refusés</v>
      </c>
      <c r="M12" s="2"/>
      <c r="N12" s="2"/>
      <c r="O12" s="2"/>
      <c r="P12" s="2"/>
    </row>
    <row r="14" spans="1:16" ht="15.75" customHeight="1" x14ac:dyDescent="0.3">
      <c r="A14" s="1" t="s">
        <v>108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</sheetData>
  <mergeCells count="7">
    <mergeCell ref="A14:P14"/>
    <mergeCell ref="A1:P1"/>
    <mergeCell ref="A2:I2"/>
    <mergeCell ref="J2:L2"/>
    <mergeCell ref="M2:O2"/>
    <mergeCell ref="A12:I12"/>
    <mergeCell ref="L12:P12"/>
  </mergeCells>
  <conditionalFormatting sqref="N4:N11">
    <cfRule type="containsText" dxfId="5" priority="2" operator="containsText" text="Approuvé">
      <formula>NOT(ISERROR(SEARCH("Approuvé",N4)))</formula>
    </cfRule>
    <cfRule type="containsText" dxfId="4" priority="3" operator="containsText" text="attente">
      <formula>NOT(ISERROR(SEARCH("attente",N4)))</formula>
    </cfRule>
    <cfRule type="containsText" dxfId="3" priority="4" operator="containsText" text="Refusé">
      <formula>NOT(ISERROR(SEARCH("Refusé",N4)))</formula>
    </cfRule>
  </conditionalFormatting>
  <conditionalFormatting sqref="L4:L11">
    <cfRule type="containsText" dxfId="2" priority="5" operator="containsText" text="CRITIQUE">
      <formula>NOT(ISERROR(SEARCH("CRITIQUE",L4)))</formula>
    </cfRule>
    <cfRule type="containsText" dxfId="1" priority="6" operator="containsText" text="MAJEURE">
      <formula>NOT(ISERROR(SEARCH("MAJEURE",L4)))</formula>
    </cfRule>
    <cfRule type="containsText" dxfId="0" priority="7" operator="containsText" text="MINEURE">
      <formula>NOT(ISERROR(SEARCH("MINEURE",L4)))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IDENTITÉ</vt:lpstr>
      <vt:lpstr>REGISTRE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emna marzouki</cp:lastModifiedBy>
  <cp:revision>0</cp:revision>
  <dcterms:created xsi:type="dcterms:W3CDTF">2026-06-06T17:21:35Z</dcterms:created>
  <dcterms:modified xsi:type="dcterms:W3CDTF">2026-06-06T18:15:08Z</dcterms:modified>
  <dc:language>en-US</dc:language>
</cp:coreProperties>
</file>