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DENTITÉ" sheetId="1" r:id="rId4"/>
    <sheet state="visible" name="REGISTRE" sheetId="2" r:id="rId5"/>
  </sheets>
  <definedNames/>
  <calcPr/>
  <extLst>
    <ext uri="GoogleSheetsCustomDataVersion2">
      <go:sheetsCustomData xmlns:go="http://customooxmlschemas.google.com/" r:id="rId6" roundtripDataChecksum="LUYJrJDXWNmNkDKGF54U7XgLSl59Ro12lSvHeHqgzsU="/>
    </ext>
  </extLst>
</workbook>
</file>

<file path=xl/sharedStrings.xml><?xml version="1.0" encoding="utf-8"?>
<sst xmlns="http://schemas.openxmlformats.org/spreadsheetml/2006/main" count="284" uniqueCount="149">
  <si>
    <r>
      <rPr>
        <rFont val="Calibri"/>
        <b/>
        <color rgb="FF1F497D"/>
        <sz val="13.0"/>
      </rPr>
      <t>SYSTÈME DE MANAGEMENT DE LA QUALITÉ</t>
    </r>
    <r>
      <rPr>
        <rFont val="Calibri"/>
        <b/>
        <color theme="1"/>
        <sz val="13.0"/>
      </rPr>
      <t xml:space="preserve">
Procédure liste des fournisseurs approuvés</t>
    </r>
  </si>
  <si>
    <r>
      <rPr>
        <rFont val="Calibri"/>
        <b/>
        <color theme="1"/>
        <sz val="12.0"/>
      </rPr>
      <t xml:space="preserve">Réf. : SMQ-REG-FOU
Version : V01
Date : Mai 2026
</t>
    </r>
    <r>
      <rPr>
        <rFont val="Calibri"/>
        <b/>
        <color rgb="FFF79646"/>
        <sz val="12.0"/>
      </rPr>
      <t>Statut : En vigueur</t>
    </r>
  </si>
  <si>
    <t>RÉDIGÉ PAR</t>
  </si>
  <si>
    <t>VÉRIFIÉ PAR</t>
  </si>
  <si>
    <t>APPROUVÉ PAR</t>
  </si>
  <si>
    <t>Pilote SMQ / Resp. Qualité
Signature : __________________
Date : ___/___/______</t>
  </si>
  <si>
    <t>Direction Générale
Signature : __________________
Date : ___/___/______</t>
  </si>
  <si>
    <t>Référence</t>
  </si>
  <si>
    <t>SMQ-REG-FOU</t>
  </si>
  <si>
    <t>Version</t>
  </si>
  <si>
    <t>V01</t>
  </si>
  <si>
    <t>Clause ISO 9001:2015</t>
  </si>
  <si>
    <t>§8.4.1 — Maîtrise des processus, produits et services fournis par des prestataires externes</t>
  </si>
  <si>
    <t>Pilote</t>
  </si>
  <si>
    <t>PMO-Qualité — Manel Idoudi (MI)</t>
  </si>
  <si>
    <t>Fréquence de révision</t>
  </si>
  <si>
    <t>Annuelle (niveaux A et B) / Post-mission (niveaux B et C à la demande)</t>
  </si>
  <si>
    <t>Prochaine révision</t>
  </si>
  <si>
    <t>Mai 2027</t>
  </si>
  <si>
    <t>Date de création</t>
  </si>
  <si>
    <t>Mars / Mai 2026</t>
  </si>
  <si>
    <t>Statut</t>
  </si>
  <si>
    <t>En cours de rédaction — V01</t>
  </si>
  <si>
    <t>CADRE DE VALIDATION</t>
  </si>
  <si>
    <t>Manel Idoudi — PMO-Qualité</t>
  </si>
  <si>
    <t>BU Leaders (ES / RS / MS)</t>
  </si>
  <si>
    <t>Sami Tabbane — Direction Générale</t>
  </si>
  <si>
    <t>Signature :</t>
  </si>
  <si>
    <t>Date :</t>
  </si>
  <si>
    <t>ISO 9001:2015  ·  SMQ-REG-FOU  ·  SFM Technologies  ·  © Mai 2026  ·  CONFIDENTIEL</t>
  </si>
  <si>
    <t>SMQ-REG-FOU  ·  LISTE DES FOURNISSEURS APPROUVÉS — §8.4.1  ·  SFM TECHNOLOGIES</t>
  </si>
  <si>
    <t>🟢 Approuvé ★ : Score ≥ 85  ·  🟡 En observation : Score 60–84  ·  🔴 Rejeté : Score &lt; 60  ·  ⚫ À évaluer  ·  Niveau : A=Critique  B=Important  C=Standard  ·  Seuil approbation ajusté par rapport au doc source (≥85 vs ≥80)</t>
  </si>
  <si>
    <t>N°
Fournisseur</t>
  </si>
  <si>
    <t>Catégorie</t>
  </si>
  <si>
    <t>Nom / Société</t>
  </si>
  <si>
    <t>Type</t>
  </si>
  <si>
    <t>BU</t>
  </si>
  <si>
    <t>Niveau
Criticité</t>
  </si>
  <si>
    <t>Domaine d'expertise / Service</t>
  </si>
  <si>
    <t>Score
(/100)</t>
  </si>
  <si>
    <t>Statut automatique
(formule)</t>
  </si>
  <si>
    <t>Date dernière
évaluation</t>
  </si>
  <si>
    <t>Date prochaine
évaluation</t>
  </si>
  <si>
    <t>Responsable
évaluation</t>
  </si>
  <si>
    <t>Observations / Commentaires</t>
  </si>
  <si>
    <t xml:space="preserve">  ▶  Experts Telco (PR1)</t>
  </si>
  <si>
    <t>F001</t>
  </si>
  <si>
    <t>Experts Telco (PR1)</t>
  </si>
  <si>
    <t>[Expert 5G externe]</t>
  </si>
  <si>
    <t>Consultant ind.</t>
  </si>
  <si>
    <t>PR1</t>
  </si>
  <si>
    <t>A</t>
  </si>
  <si>
    <t>5G NR / Radio / Planification réseau</t>
  </si>
  <si>
    <t>Mai 2026</t>
  </si>
  <si>
    <t>BU Leader Telco (ES)</t>
  </si>
  <si>
    <t>Expert senior 5G NR — certifié</t>
  </si>
  <si>
    <t>F002</t>
  </si>
  <si>
    <t>[Expert QoS / UIT-T]</t>
  </si>
  <si>
    <t>QoS / KPIs Telco / Standards UIT-T</t>
  </si>
  <si>
    <t>Nov. 2026</t>
  </si>
  <si>
    <t>En observation — plan amélioration requis</t>
  </si>
  <si>
    <t>F003</t>
  </si>
  <si>
    <t>[Expert Core Network]</t>
  </si>
  <si>
    <t>B</t>
  </si>
  <si>
    <t>Core Network / Transport IP / 4G LTE</t>
  </si>
  <si>
    <t>Score insuffisant — surveillance renforcée</t>
  </si>
  <si>
    <t>F004</t>
  </si>
  <si>
    <t>[Société Ingénierie Telco]</t>
  </si>
  <si>
    <t>Sous-traitant</t>
  </si>
  <si>
    <t>Déploiement terrain / Intégration systèmes</t>
  </si>
  <si>
    <t>À évaluer</t>
  </si>
  <si>
    <t>"⚫ À évaluer"</t>
  </si>
  <si>
    <t>—</t>
  </si>
  <si>
    <t>En attente d'évaluation initiale</t>
  </si>
  <si>
    <t xml:space="preserve">  ▶  Formateurs PR3</t>
  </si>
  <si>
    <t>F010</t>
  </si>
  <si>
    <t>Formateurs PR3</t>
  </si>
  <si>
    <t>[Formateur certifié Huawei]</t>
  </si>
  <si>
    <t>Formateur ind.</t>
  </si>
  <si>
    <t>PR3</t>
  </si>
  <si>
    <t>5G / Réseau Huawei / HCIA-HCIE</t>
  </si>
  <si>
    <t>BU Leader Formation (MS)</t>
  </si>
  <si>
    <t>Habilitation en cours</t>
  </si>
  <si>
    <t>F011</t>
  </si>
  <si>
    <t>[Formateur certifié Cisco]</t>
  </si>
  <si>
    <t>Cybersécurité / Cisco CCNP-CCIE</t>
  </si>
  <si>
    <t>F012</t>
  </si>
  <si>
    <t>[Organisme partenaire IA]</t>
  </si>
  <si>
    <t>Partenaire</t>
  </si>
  <si>
    <t>IA/ML / Data Science / Python / TensorFlow</t>
  </si>
  <si>
    <t>Partenariat en négociation</t>
  </si>
  <si>
    <t>F013</t>
  </si>
  <si>
    <t>[Formateur IoT externe]</t>
  </si>
  <si>
    <t>IoT / Edge Computing / LoRaWAN / MQTT</t>
  </si>
  <si>
    <t>À évaluer avant prochaine session</t>
  </si>
  <si>
    <t xml:space="preserve">  ▶  Prestataires Digital (PR2)</t>
  </si>
  <si>
    <t>F020</t>
  </si>
  <si>
    <t>Prestataires Digital (PR2)</t>
  </si>
  <si>
    <t>[Développeur SaaS externe]</t>
  </si>
  <si>
    <t>PR2</t>
  </si>
  <si>
    <t>React / FastAPI / Cloud — renfort COSAP/BidMaster</t>
  </si>
  <si>
    <t>BU Leader Digital (RS)</t>
  </si>
  <si>
    <t>Mission ponctuelle — qualification requise</t>
  </si>
  <si>
    <t>F021</t>
  </si>
  <si>
    <t>[Intégrateur IoT]</t>
  </si>
  <si>
    <t>MQTT / LoRaWAN / Edge Computing — Voltix</t>
  </si>
  <si>
    <t>À qualifier pour projet Voltix</t>
  </si>
  <si>
    <t>F022</t>
  </si>
  <si>
    <t>[Expert IA/ML externe]</t>
  </si>
  <si>
    <t>Python / TensorFlow / LLM / MLOps</t>
  </si>
  <si>
    <t>Priorité A — qualification urgente</t>
  </si>
  <si>
    <t xml:space="preserve">  ▶  Infra Cloud/IT (PS3)</t>
  </si>
  <si>
    <t>F030</t>
  </si>
  <si>
    <t>Infra Cloud/IT (PS3)</t>
  </si>
  <si>
    <t>Amazon Web Services (AWS)</t>
  </si>
  <si>
    <t>Cloud provider</t>
  </si>
  <si>
    <t>PS3</t>
  </si>
  <si>
    <t>Infrastructure cloud SaaS — hébergement COSAP, BidMaster, Voltix</t>
  </si>
  <si>
    <t>Resp. IT (PS3)</t>
  </si>
  <si>
    <t>SLA 99,99% atteint — fournisseur stratégique</t>
  </si>
  <si>
    <t>F031</t>
  </si>
  <si>
    <t>Microsoft Azure</t>
  </si>
  <si>
    <t>Cloud / DevOps / IA / CI-CD pipelines</t>
  </si>
  <si>
    <t>SLA 99,9% atteint — certifié ISO 27001</t>
  </si>
  <si>
    <t>F032</t>
  </si>
  <si>
    <t>GitLab</t>
  </si>
  <si>
    <t>Éditeur logiciel</t>
  </si>
  <si>
    <t>CI/CD / Code source / DevSecOps</t>
  </si>
  <si>
    <t>Approuvé — intégration CI/CD complète</t>
  </si>
  <si>
    <t>F033</t>
  </si>
  <si>
    <t>COSAP (Éditeur)</t>
  </si>
  <si>
    <t>Plateforme GED/ERP SFM — pilier SMQ</t>
  </si>
  <si>
    <t>Fournisseur stratégique — contrat pluriannuel</t>
  </si>
  <si>
    <t>F034</t>
  </si>
  <si>
    <t>[FAI / Opérateur réseau]</t>
  </si>
  <si>
    <t>Télécoms</t>
  </si>
  <si>
    <t>Connectivité internet haut débit — sièges SFM</t>
  </si>
  <si>
    <t>SLA à formaliser</t>
  </si>
  <si>
    <t>SMQ-REG-FOU  ·  SFM Technologies  ·  ISO 9001:2015 §8.4.1  ·  Enregistrement obligatoire  ·  © Mai 2026</t>
  </si>
  <si>
    <t>TABLEAU DE BORD — SYNTHÈSE DU PORTEFEUILLE FOURNISSEURS (formules dynamiques)</t>
  </si>
  <si>
    <t>Total</t>
  </si>
  <si>
    <t>Approuvés ★
(score ≥85)</t>
  </si>
  <si>
    <t>En observation
(60-84)</t>
  </si>
  <si>
    <t>Rejetés
(score &lt;60)</t>
  </si>
  <si>
    <t>Experts Telco
 (PR1)</t>
  </si>
  <si>
    <t>Formateurs 
/ Organismes (PR3)</t>
  </si>
  <si>
    <t>Prestataires
 Digital (PR2)</t>
  </si>
  <si>
    <t>Fournisseurs IT
/Cloud (PS3)</t>
  </si>
  <si>
    <t>TOTAL 
PORTEFEUILLE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</si>
</sst>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1">
    <font>
      <sz val="11.0"/>
      <color theme="1"/>
      <name val="Calibri"/>
      <scheme val="minor"/>
    </font>
    <font>
      <sz val="11.0"/>
      <color theme="1"/>
      <name val="Calibri"/>
    </font>
    <font/>
    <font>
      <b/>
      <sz val="13.0"/>
      <color theme="1"/>
      <name val="Calibri"/>
    </font>
    <font>
      <b/>
      <sz val="12.0"/>
      <color theme="1"/>
      <name val="Calibri"/>
    </font>
    <font>
      <b/>
      <sz val="12.0"/>
      <color rgb="FFFFFFFF"/>
      <name val="Calibri"/>
    </font>
    <font>
      <b/>
      <sz val="10.0"/>
      <color rgb="FF0D2137"/>
      <name val="Calibri"/>
    </font>
    <font>
      <sz val="10.0"/>
      <color rgb="FF000000"/>
      <name val="Calibri"/>
    </font>
    <font>
      <b/>
      <sz val="11.0"/>
      <color rgb="FFFFFFFF"/>
      <name val="Calibri"/>
    </font>
    <font>
      <b/>
      <sz val="10.0"/>
      <color rgb="FFFFFFFF"/>
      <name val="Calibri"/>
    </font>
    <font>
      <sz val="10.0"/>
      <color rgb="FF0D2137"/>
      <name val="Calibri"/>
    </font>
    <font>
      <i/>
      <sz val="10.0"/>
      <color rgb="FF000000"/>
      <name val="Calibri"/>
    </font>
    <font>
      <i/>
      <sz val="8.0"/>
      <color rgb="FFBDC3C7"/>
      <name val="Calibri"/>
    </font>
    <font>
      <i/>
      <sz val="8.0"/>
      <color rgb="FF0D2137"/>
      <name val="Calibri"/>
    </font>
    <font>
      <b/>
      <sz val="9.0"/>
      <color rgb="FFFFFFFF"/>
      <name val="Calibri"/>
    </font>
    <font>
      <b/>
      <sz val="11.0"/>
      <color rgb="FF27AE60"/>
      <name val="Calibri"/>
    </font>
    <font>
      <b/>
      <sz val="9.0"/>
      <color theme="1"/>
      <name val="Calibri"/>
    </font>
    <font>
      <b/>
      <sz val="11.0"/>
      <color rgb="FFE67E22"/>
      <name val="Calibri"/>
    </font>
    <font>
      <b/>
      <sz val="10.0"/>
      <color rgb="FF000000"/>
      <name val="Calibri"/>
    </font>
    <font>
      <i/>
      <sz val="10.0"/>
      <color rgb="FFBDC3C7"/>
      <name val="Calibri"/>
    </font>
    <font>
      <sz val="10.0"/>
      <color rgb="FFBDC3C7"/>
      <name val="Calibri"/>
    </font>
  </fonts>
  <fills count="11">
    <fill>
      <patternFill patternType="none"/>
    </fill>
    <fill>
      <patternFill patternType="lightGray"/>
    </fill>
    <fill>
      <patternFill patternType="solid">
        <fgColor rgb="FFE9ECEF"/>
        <bgColor rgb="FFE9ECEF"/>
      </patternFill>
    </fill>
    <fill>
      <patternFill patternType="solid">
        <fgColor rgb="FF1F4068"/>
        <bgColor rgb="FF1F4068"/>
      </patternFill>
    </fill>
    <fill>
      <patternFill patternType="solid">
        <fgColor rgb="FF0F7F8C"/>
        <bgColor rgb="FF0F7F8C"/>
      </patternFill>
    </fill>
    <fill>
      <patternFill patternType="solid">
        <fgColor theme="0"/>
        <bgColor theme="0"/>
      </patternFill>
    </fill>
    <fill>
      <patternFill patternType="solid">
        <fgColor rgb="FFD6E4F0"/>
        <bgColor rgb="FFD6E4F0"/>
      </patternFill>
    </fill>
    <fill>
      <patternFill patternType="solid">
        <fgColor rgb="FFFFFFFF"/>
        <bgColor rgb="FFFFFFFF"/>
      </patternFill>
    </fill>
    <fill>
      <patternFill patternType="solid">
        <fgColor rgb="FF0D2137"/>
        <bgColor rgb="FF0D2137"/>
      </patternFill>
    </fill>
    <fill>
      <patternFill patternType="solid">
        <fgColor rgb="FF1A4A7C"/>
        <bgColor rgb="FF1A4A7C"/>
      </patternFill>
    </fill>
    <fill>
      <patternFill patternType="solid">
        <fgColor rgb="FFF2F4F5"/>
        <bgColor rgb="FFF2F4F5"/>
      </patternFill>
    </fill>
  </fills>
  <borders count="18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</border>
    <border>
      <left style="thin">
        <color rgb="FFBDC3C7"/>
      </left>
      <top style="thin">
        <color rgb="FFBDC3C7"/>
      </top>
      <bottom style="thin">
        <color rgb="FFBDC3C7"/>
      </bottom>
    </border>
    <border>
      <top style="thin">
        <color rgb="FFBDC3C7"/>
      </top>
      <bottom style="thin">
        <color rgb="FFBDC3C7"/>
      </bottom>
    </border>
    <border>
      <right/>
      <top style="thin">
        <color rgb="FFBDC3C7"/>
      </top>
      <bottom style="thin">
        <color rgb="FFBDC3C7"/>
      </bottom>
    </border>
    <border>
      <left/>
      <top/>
      <bottom/>
    </border>
    <border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0" fontId="2" numFmtId="0" xfId="0" applyBorder="1" applyFont="1"/>
    <xf borderId="1" fillId="2" fontId="3" numFmtId="0" xfId="0" applyAlignment="1" applyBorder="1" applyFont="1">
      <alignment horizontal="center" shrinkToFit="0" vertical="center" wrapText="1"/>
    </xf>
    <xf borderId="3" fillId="0" fontId="2" numFmtId="0" xfId="0" applyBorder="1" applyFont="1"/>
    <xf borderId="1" fillId="2" fontId="4" numFmtId="0" xfId="0" applyAlignment="1" applyBorder="1" applyFont="1">
      <alignment horizontal="center" readingOrder="0" shrinkToFit="0" vertical="center" wrapText="1"/>
    </xf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3" fontId="5" numFmtId="0" xfId="0" applyAlignment="1" applyBorder="1" applyFill="1" applyFont="1">
      <alignment horizontal="center" vertical="center"/>
    </xf>
    <xf borderId="8" fillId="0" fontId="2" numFmtId="0" xfId="0" applyBorder="1" applyFont="1"/>
    <xf borderId="7" fillId="4" fontId="5" numFmtId="0" xfId="0" applyAlignment="1" applyBorder="1" applyFill="1" applyFont="1">
      <alignment horizontal="center" vertical="center"/>
    </xf>
    <xf borderId="9" fillId="0" fontId="2" numFmtId="0" xfId="0" applyBorder="1" applyFont="1"/>
    <xf borderId="7" fillId="0" fontId="1" numFmtId="0" xfId="0" applyAlignment="1" applyBorder="1" applyFont="1">
      <alignment horizontal="left" shrinkToFit="0" vertical="center" wrapText="1"/>
    </xf>
    <xf borderId="10" fillId="5" fontId="5" numFmtId="0" xfId="0" applyAlignment="1" applyBorder="1" applyFill="1" applyFont="1">
      <alignment horizontal="center" vertical="center"/>
    </xf>
    <xf borderId="11" fillId="6" fontId="6" numFmtId="0" xfId="0" applyAlignment="1" applyBorder="1" applyFill="1" applyFont="1">
      <alignment horizontal="left" vertical="center"/>
    </xf>
    <xf borderId="12" fillId="7" fontId="7" numFmtId="0" xfId="0" applyAlignment="1" applyBorder="1" applyFill="1" applyFont="1">
      <alignment horizontal="left" vertical="center"/>
    </xf>
    <xf borderId="13" fillId="0" fontId="2" numFmtId="0" xfId="0" applyBorder="1" applyFont="1"/>
    <xf borderId="14" fillId="0" fontId="2" numFmtId="0" xfId="0" applyBorder="1" applyFont="1"/>
    <xf borderId="15" fillId="8" fontId="8" numFmtId="0" xfId="0" applyAlignment="1" applyBorder="1" applyFill="1" applyFont="1">
      <alignment horizontal="center" vertical="center"/>
    </xf>
    <xf borderId="16" fillId="0" fontId="2" numFmtId="0" xfId="0" applyBorder="1" applyFont="1"/>
    <xf borderId="17" fillId="0" fontId="2" numFmtId="0" xfId="0" applyBorder="1" applyFont="1"/>
    <xf borderId="11" fillId="9" fontId="9" numFmtId="0" xfId="0" applyAlignment="1" applyBorder="1" applyFill="1" applyFont="1">
      <alignment horizontal="center" vertical="center"/>
    </xf>
    <xf borderId="11" fillId="6" fontId="10" numFmtId="0" xfId="0" applyAlignment="1" applyBorder="1" applyFont="1">
      <alignment horizontal="center" vertical="center"/>
    </xf>
    <xf borderId="11" fillId="10" fontId="11" numFmtId="0" xfId="0" applyAlignment="1" applyBorder="1" applyFill="1" applyFont="1">
      <alignment horizontal="center" vertical="center"/>
    </xf>
    <xf borderId="0" fillId="0" fontId="12" numFmtId="0" xfId="0" applyAlignment="1" applyFont="1">
      <alignment horizontal="center"/>
    </xf>
    <xf borderId="15" fillId="8" fontId="5" numFmtId="0" xfId="0" applyAlignment="1" applyBorder="1" applyFont="1">
      <alignment horizontal="center" vertical="center"/>
    </xf>
    <xf borderId="15" fillId="6" fontId="13" numFmtId="0" xfId="0" applyAlignment="1" applyBorder="1" applyFont="1">
      <alignment horizontal="center" vertical="center"/>
    </xf>
    <xf borderId="11" fillId="8" fontId="14" numFmtId="0" xfId="0" applyAlignment="1" applyBorder="1" applyFont="1">
      <alignment horizontal="center" shrinkToFit="0" vertical="center" wrapText="1"/>
    </xf>
    <xf borderId="15" fillId="9" fontId="14" numFmtId="0" xfId="0" applyAlignment="1" applyBorder="1" applyFont="1">
      <alignment horizontal="left" vertical="center"/>
    </xf>
    <xf borderId="11" fillId="6" fontId="7" numFmtId="0" xfId="0" applyAlignment="1" applyBorder="1" applyFont="1">
      <alignment horizontal="center" shrinkToFit="0" vertical="center" wrapText="1"/>
    </xf>
    <xf borderId="11" fillId="6" fontId="7" numFmtId="0" xfId="0" applyAlignment="1" applyBorder="1" applyFont="1">
      <alignment horizontal="left" shrinkToFit="0" vertical="center" wrapText="1"/>
    </xf>
    <xf borderId="11" fillId="6" fontId="15" numFmtId="1" xfId="0" applyAlignment="1" applyBorder="1" applyFont="1" applyNumberFormat="1">
      <alignment horizontal="center" shrinkToFit="0" vertical="center" wrapText="1"/>
    </xf>
    <xf borderId="11" fillId="6" fontId="16" numFmtId="0" xfId="0" applyAlignment="1" applyBorder="1" applyFont="1">
      <alignment horizontal="center" shrinkToFit="0" vertical="center" wrapText="1"/>
    </xf>
    <xf borderId="11" fillId="7" fontId="7" numFmtId="0" xfId="0" applyAlignment="1" applyBorder="1" applyFont="1">
      <alignment horizontal="center" shrinkToFit="0" vertical="center" wrapText="1"/>
    </xf>
    <xf borderId="11" fillId="7" fontId="7" numFmtId="0" xfId="0" applyAlignment="1" applyBorder="1" applyFont="1">
      <alignment horizontal="left" shrinkToFit="0" vertical="center" wrapText="1"/>
    </xf>
    <xf borderId="11" fillId="7" fontId="17" numFmtId="1" xfId="0" applyAlignment="1" applyBorder="1" applyFont="1" applyNumberFormat="1">
      <alignment horizontal="center" shrinkToFit="0" vertical="center" wrapText="1"/>
    </xf>
    <xf borderId="11" fillId="7" fontId="16" numFmtId="0" xfId="0" applyAlignment="1" applyBorder="1" applyFont="1">
      <alignment horizontal="center" shrinkToFit="0" vertical="center" wrapText="1"/>
    </xf>
    <xf borderId="11" fillId="6" fontId="17" numFmtId="1" xfId="0" applyAlignment="1" applyBorder="1" applyFont="1" applyNumberFormat="1">
      <alignment horizontal="center" shrinkToFit="0" vertical="center" wrapText="1"/>
    </xf>
    <xf borderId="11" fillId="7" fontId="15" numFmtId="1" xfId="0" applyAlignment="1" applyBorder="1" applyFont="1" applyNumberFormat="1">
      <alignment horizontal="center" shrinkToFit="0" vertical="center" wrapText="1"/>
    </xf>
    <xf borderId="15" fillId="8" fontId="9" numFmtId="0" xfId="0" applyAlignment="1" applyBorder="1" applyFont="1">
      <alignment horizontal="center" vertical="center"/>
    </xf>
    <xf borderId="11" fillId="9" fontId="14" numFmtId="0" xfId="0" applyAlignment="1" applyBorder="1" applyFont="1">
      <alignment horizontal="center" shrinkToFit="0" vertical="center" wrapText="1"/>
    </xf>
    <xf borderId="11" fillId="7" fontId="18" numFmtId="0" xfId="0" applyAlignment="1" applyBorder="1" applyFont="1">
      <alignment horizontal="left" shrinkToFit="0" vertical="center" wrapText="1"/>
    </xf>
    <xf borderId="11" fillId="7" fontId="7" numFmtId="0" xfId="0" applyAlignment="1" applyBorder="1" applyFont="1">
      <alignment horizontal="center" vertical="center"/>
    </xf>
    <xf borderId="11" fillId="7" fontId="19" numFmtId="0" xfId="0" applyAlignment="1" applyBorder="1" applyFont="1">
      <alignment horizontal="center" vertical="center"/>
    </xf>
    <xf borderId="11" fillId="6" fontId="18" numFmtId="0" xfId="0" applyAlignment="1" applyBorder="1" applyFont="1">
      <alignment horizontal="left" shrinkToFit="0" vertical="center" wrapText="1"/>
    </xf>
    <xf borderId="11" fillId="6" fontId="7" numFmtId="0" xfId="0" applyAlignment="1" applyBorder="1" applyFont="1">
      <alignment horizontal="center" vertical="center"/>
    </xf>
    <xf borderId="11" fillId="6" fontId="19" numFmtId="0" xfId="0" applyAlignment="1" applyBorder="1" applyFont="1">
      <alignment horizontal="center" vertical="center"/>
    </xf>
    <xf borderId="11" fillId="6" fontId="6" numFmtId="0" xfId="0" applyAlignment="1" applyBorder="1" applyFont="1">
      <alignment horizontal="left" shrinkToFit="0" vertical="center" wrapText="1"/>
    </xf>
    <xf borderId="11" fillId="6" fontId="6" numFmtId="0" xfId="0" applyAlignment="1" applyBorder="1" applyFont="1">
      <alignment horizontal="center" vertical="center"/>
    </xf>
    <xf borderId="11" fillId="6" fontId="20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562100" cy="866775"/>
    <xdr:pic>
      <xdr:nvPicPr>
        <xdr:cNvPr descr="Picture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0.57"/>
    <col customWidth="1" min="2" max="2" width="2.71"/>
    <col customWidth="1" min="3" max="3" width="10.57"/>
    <col customWidth="1" min="4" max="4" width="15.0"/>
    <col customWidth="1" min="5" max="5" width="15.86"/>
    <col customWidth="1" min="6" max="6" width="28.29"/>
    <col customWidth="1" min="7" max="7" width="8.71"/>
    <col customWidth="1" min="8" max="8" width="15.29"/>
    <col customWidth="1" min="9" max="26" width="8.71"/>
  </cols>
  <sheetData>
    <row r="1" ht="41.25" customHeight="1">
      <c r="A1" s="1"/>
      <c r="B1" s="2"/>
      <c r="C1" s="3" t="s">
        <v>0</v>
      </c>
      <c r="D1" s="4"/>
      <c r="E1" s="4"/>
      <c r="F1" s="2"/>
      <c r="G1" s="5" t="s">
        <v>1</v>
      </c>
      <c r="H1" s="2"/>
    </row>
    <row r="2" ht="35.25" customHeight="1">
      <c r="A2" s="6"/>
      <c r="B2" s="7"/>
      <c r="C2" s="6"/>
      <c r="D2" s="8"/>
      <c r="E2" s="8"/>
      <c r="F2" s="7"/>
      <c r="G2" s="6"/>
      <c r="H2" s="7"/>
    </row>
    <row r="3" ht="21.75" customHeight="1">
      <c r="A3" s="9" t="s">
        <v>2</v>
      </c>
      <c r="B3" s="10"/>
      <c r="C3" s="11" t="s">
        <v>3</v>
      </c>
      <c r="D3" s="12"/>
      <c r="E3" s="12"/>
      <c r="F3" s="10"/>
      <c r="G3" s="9" t="s">
        <v>4</v>
      </c>
      <c r="H3" s="10"/>
    </row>
    <row r="4" ht="53.25" customHeight="1">
      <c r="A4" s="13" t="s">
        <v>5</v>
      </c>
      <c r="B4" s="10"/>
      <c r="C4" s="13" t="s">
        <v>5</v>
      </c>
      <c r="D4" s="12"/>
      <c r="E4" s="12"/>
      <c r="F4" s="10"/>
      <c r="G4" s="13" t="s">
        <v>6</v>
      </c>
      <c r="H4" s="10"/>
    </row>
    <row r="5" ht="14.25" customHeight="1">
      <c r="A5" s="14"/>
      <c r="B5" s="14"/>
      <c r="C5" s="14"/>
      <c r="D5" s="14"/>
      <c r="E5" s="14"/>
    </row>
    <row r="6" ht="19.5" customHeight="1">
      <c r="A6" s="15" t="s">
        <v>7</v>
      </c>
      <c r="B6" s="16" t="s">
        <v>8</v>
      </c>
      <c r="C6" s="17"/>
      <c r="D6" s="17"/>
      <c r="E6" s="18"/>
    </row>
    <row r="7" ht="19.5" customHeight="1">
      <c r="A7" s="15" t="s">
        <v>9</v>
      </c>
      <c r="B7" s="16" t="s">
        <v>10</v>
      </c>
      <c r="C7" s="17"/>
      <c r="D7" s="17"/>
      <c r="E7" s="18"/>
    </row>
    <row r="8" ht="19.5" customHeight="1">
      <c r="A8" s="15" t="s">
        <v>11</v>
      </c>
      <c r="B8" s="16" t="s">
        <v>12</v>
      </c>
      <c r="C8" s="17"/>
      <c r="D8" s="17"/>
      <c r="E8" s="18"/>
    </row>
    <row r="9" ht="19.5" customHeight="1">
      <c r="A9" s="15" t="s">
        <v>13</v>
      </c>
      <c r="B9" s="16" t="s">
        <v>14</v>
      </c>
      <c r="C9" s="17"/>
      <c r="D9" s="17"/>
      <c r="E9" s="18"/>
    </row>
    <row r="10" ht="19.5" customHeight="1">
      <c r="A10" s="15" t="s">
        <v>15</v>
      </c>
      <c r="B10" s="16" t="s">
        <v>16</v>
      </c>
      <c r="C10" s="17"/>
      <c r="D10" s="17"/>
      <c r="E10" s="18"/>
    </row>
    <row r="11" ht="19.5" customHeight="1">
      <c r="A11" s="15" t="s">
        <v>17</v>
      </c>
      <c r="B11" s="16" t="s">
        <v>18</v>
      </c>
      <c r="C11" s="17"/>
      <c r="D11" s="17"/>
      <c r="E11" s="18"/>
    </row>
    <row r="12" ht="19.5" customHeight="1">
      <c r="A12" s="15" t="s">
        <v>19</v>
      </c>
      <c r="B12" s="16" t="s">
        <v>20</v>
      </c>
      <c r="C12" s="17"/>
      <c r="D12" s="17"/>
      <c r="E12" s="18"/>
    </row>
    <row r="13" ht="19.5" customHeight="1">
      <c r="A13" s="15" t="s">
        <v>21</v>
      </c>
      <c r="B13" s="16" t="s">
        <v>22</v>
      </c>
      <c r="C13" s="17"/>
      <c r="D13" s="17"/>
      <c r="E13" s="18"/>
    </row>
    <row r="14" ht="7.5" customHeight="1"/>
    <row r="15" ht="19.5" hidden="1" customHeight="1">
      <c r="A15" s="19" t="s">
        <v>23</v>
      </c>
      <c r="B15" s="20"/>
      <c r="C15" s="20"/>
      <c r="D15" s="20"/>
      <c r="E15" s="21"/>
    </row>
    <row r="16" ht="21.75" hidden="1" customHeight="1">
      <c r="A16" s="22" t="s">
        <v>2</v>
      </c>
      <c r="B16" s="23" t="s">
        <v>24</v>
      </c>
      <c r="C16" s="22" t="s">
        <v>3</v>
      </c>
      <c r="D16" s="23" t="s">
        <v>25</v>
      </c>
      <c r="E16" s="22" t="s">
        <v>4</v>
      </c>
      <c r="F16" s="23" t="s">
        <v>26</v>
      </c>
    </row>
    <row r="17" ht="19.5" hidden="1" customHeight="1">
      <c r="A17" s="24" t="s">
        <v>27</v>
      </c>
      <c r="B17" s="24" t="s">
        <v>28</v>
      </c>
      <c r="C17" s="24" t="s">
        <v>27</v>
      </c>
      <c r="D17" s="24" t="s">
        <v>28</v>
      </c>
      <c r="E17" s="24" t="s">
        <v>27</v>
      </c>
      <c r="F17" s="24" t="s">
        <v>28</v>
      </c>
    </row>
    <row r="18" ht="14.25" customHeight="1"/>
    <row r="19" ht="14.25" customHeight="1">
      <c r="A19" s="25" t="s">
        <v>29</v>
      </c>
    </row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9">
    <mergeCell ref="A1:B2"/>
    <mergeCell ref="C1:F2"/>
    <mergeCell ref="G1:H2"/>
    <mergeCell ref="A3:B3"/>
    <mergeCell ref="C3:F3"/>
    <mergeCell ref="G3:H3"/>
    <mergeCell ref="A4:B4"/>
    <mergeCell ref="B11:E11"/>
    <mergeCell ref="B12:E12"/>
    <mergeCell ref="B13:E13"/>
    <mergeCell ref="A15:E15"/>
    <mergeCell ref="A19:E19"/>
    <mergeCell ref="C4:F4"/>
    <mergeCell ref="G4:H4"/>
    <mergeCell ref="B6:E6"/>
    <mergeCell ref="B7:E7"/>
    <mergeCell ref="B8:E8"/>
    <mergeCell ref="B9:E9"/>
    <mergeCell ref="B10:E10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3.29"/>
    <col customWidth="1" min="2" max="2" width="20.0"/>
    <col customWidth="1" min="3" max="3" width="25.0"/>
    <col customWidth="1" min="4" max="4" width="18.0"/>
    <col customWidth="1" min="5" max="5" width="7.0"/>
    <col customWidth="1" min="6" max="6" width="10.0"/>
    <col customWidth="1" min="7" max="7" width="32.0"/>
    <col customWidth="1" min="8" max="8" width="9.0"/>
    <col customWidth="1" min="9" max="9" width="20.0"/>
    <col customWidth="1" min="10" max="11" width="16.0"/>
    <col customWidth="1" min="12" max="12" width="20.0"/>
    <col customWidth="1" min="13" max="13" width="30.0"/>
    <col customWidth="1" min="14" max="26" width="8.71"/>
  </cols>
  <sheetData>
    <row r="1" ht="27.75" customHeight="1">
      <c r="A1" s="26" t="s">
        <v>30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1"/>
    </row>
    <row r="2" ht="15.75" customHeight="1">
      <c r="A2" s="27" t="s">
        <v>31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1"/>
    </row>
    <row r="3" ht="31.5" customHeight="1">
      <c r="A3" s="28" t="s">
        <v>32</v>
      </c>
      <c r="B3" s="28" t="s">
        <v>33</v>
      </c>
      <c r="C3" s="28" t="s">
        <v>34</v>
      </c>
      <c r="D3" s="28" t="s">
        <v>35</v>
      </c>
      <c r="E3" s="28" t="s">
        <v>36</v>
      </c>
      <c r="F3" s="28" t="s">
        <v>37</v>
      </c>
      <c r="G3" s="28" t="s">
        <v>38</v>
      </c>
      <c r="H3" s="28" t="s">
        <v>39</v>
      </c>
      <c r="I3" s="28" t="s">
        <v>40</v>
      </c>
      <c r="J3" s="28" t="s">
        <v>41</v>
      </c>
      <c r="K3" s="28" t="s">
        <v>42</v>
      </c>
      <c r="L3" s="28" t="s">
        <v>43</v>
      </c>
      <c r="M3" s="28" t="s">
        <v>44</v>
      </c>
    </row>
    <row r="4" ht="18.0" customHeight="1">
      <c r="A4" s="29" t="s">
        <v>45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1"/>
    </row>
    <row r="5" ht="36.0" customHeight="1">
      <c r="A5" s="30" t="s">
        <v>46</v>
      </c>
      <c r="B5" s="31" t="s">
        <v>47</v>
      </c>
      <c r="C5" s="31" t="s">
        <v>48</v>
      </c>
      <c r="D5" s="31" t="s">
        <v>49</v>
      </c>
      <c r="E5" s="30" t="s">
        <v>50</v>
      </c>
      <c r="F5" s="30" t="s">
        <v>51</v>
      </c>
      <c r="G5" s="31" t="s">
        <v>52</v>
      </c>
      <c r="H5" s="32">
        <v>85.0</v>
      </c>
      <c r="I5" s="33" t="str">
        <f t="shared" ref="I5:I7" si="1">IF(H5&gt;=85,"✅ Approuvé ★",IF(H5&gt;=60,"🟡 En observation","🔴 Rejeté"))</f>
        <v>✅ Approuvé ★</v>
      </c>
      <c r="J5" s="30" t="s">
        <v>53</v>
      </c>
      <c r="K5" s="30" t="s">
        <v>18</v>
      </c>
      <c r="L5" s="31" t="s">
        <v>54</v>
      </c>
      <c r="M5" s="31" t="s">
        <v>55</v>
      </c>
    </row>
    <row r="6" ht="36.0" customHeight="1">
      <c r="A6" s="34" t="s">
        <v>56</v>
      </c>
      <c r="B6" s="35" t="s">
        <v>47</v>
      </c>
      <c r="C6" s="35" t="s">
        <v>57</v>
      </c>
      <c r="D6" s="35" t="s">
        <v>49</v>
      </c>
      <c r="E6" s="34" t="s">
        <v>50</v>
      </c>
      <c r="F6" s="34" t="s">
        <v>51</v>
      </c>
      <c r="G6" s="35" t="s">
        <v>58</v>
      </c>
      <c r="H6" s="36">
        <v>78.0</v>
      </c>
      <c r="I6" s="37" t="str">
        <f t="shared" si="1"/>
        <v>🟡 En observation</v>
      </c>
      <c r="J6" s="34" t="s">
        <v>53</v>
      </c>
      <c r="K6" s="34" t="s">
        <v>59</v>
      </c>
      <c r="L6" s="35" t="s">
        <v>54</v>
      </c>
      <c r="M6" s="35" t="s">
        <v>60</v>
      </c>
    </row>
    <row r="7" ht="36.0" customHeight="1">
      <c r="A7" s="30" t="s">
        <v>61</v>
      </c>
      <c r="B7" s="31" t="s">
        <v>47</v>
      </c>
      <c r="C7" s="31" t="s">
        <v>62</v>
      </c>
      <c r="D7" s="31" t="s">
        <v>49</v>
      </c>
      <c r="E7" s="30" t="s">
        <v>50</v>
      </c>
      <c r="F7" s="30" t="s">
        <v>63</v>
      </c>
      <c r="G7" s="31" t="s">
        <v>64</v>
      </c>
      <c r="H7" s="38">
        <v>72.0</v>
      </c>
      <c r="I7" s="33" t="str">
        <f t="shared" si="1"/>
        <v>🟡 En observation</v>
      </c>
      <c r="J7" s="30" t="s">
        <v>53</v>
      </c>
      <c r="K7" s="30" t="s">
        <v>18</v>
      </c>
      <c r="L7" s="31" t="s">
        <v>54</v>
      </c>
      <c r="M7" s="31" t="s">
        <v>65</v>
      </c>
    </row>
    <row r="8" ht="36.0" customHeight="1">
      <c r="A8" s="34" t="s">
        <v>66</v>
      </c>
      <c r="B8" s="35" t="s">
        <v>47</v>
      </c>
      <c r="C8" s="35" t="s">
        <v>67</v>
      </c>
      <c r="D8" s="35" t="s">
        <v>68</v>
      </c>
      <c r="E8" s="34" t="s">
        <v>50</v>
      </c>
      <c r="F8" s="34" t="s">
        <v>51</v>
      </c>
      <c r="G8" s="35" t="s">
        <v>69</v>
      </c>
      <c r="H8" s="34" t="s">
        <v>70</v>
      </c>
      <c r="I8" s="37" t="s">
        <v>71</v>
      </c>
      <c r="J8" s="34" t="s">
        <v>72</v>
      </c>
      <c r="K8" s="34" t="s">
        <v>72</v>
      </c>
      <c r="L8" s="35" t="s">
        <v>54</v>
      </c>
      <c r="M8" s="35" t="s">
        <v>73</v>
      </c>
    </row>
    <row r="9" ht="18.0" customHeight="1">
      <c r="A9" s="29" t="s">
        <v>74</v>
      </c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1"/>
    </row>
    <row r="10" ht="36.0" customHeight="1">
      <c r="A10" s="34" t="s">
        <v>75</v>
      </c>
      <c r="B10" s="35" t="s">
        <v>76</v>
      </c>
      <c r="C10" s="35" t="s">
        <v>77</v>
      </c>
      <c r="D10" s="35" t="s">
        <v>78</v>
      </c>
      <c r="E10" s="34" t="s">
        <v>79</v>
      </c>
      <c r="F10" s="34" t="s">
        <v>51</v>
      </c>
      <c r="G10" s="35" t="s">
        <v>80</v>
      </c>
      <c r="H10" s="34" t="s">
        <v>70</v>
      </c>
      <c r="I10" s="37" t="s">
        <v>71</v>
      </c>
      <c r="J10" s="34" t="s">
        <v>72</v>
      </c>
      <c r="K10" s="34" t="s">
        <v>72</v>
      </c>
      <c r="L10" s="35" t="s">
        <v>81</v>
      </c>
      <c r="M10" s="35" t="s">
        <v>82</v>
      </c>
    </row>
    <row r="11" ht="36.0" customHeight="1">
      <c r="A11" s="30" t="s">
        <v>83</v>
      </c>
      <c r="B11" s="31" t="s">
        <v>76</v>
      </c>
      <c r="C11" s="31" t="s">
        <v>84</v>
      </c>
      <c r="D11" s="31" t="s">
        <v>78</v>
      </c>
      <c r="E11" s="30" t="s">
        <v>79</v>
      </c>
      <c r="F11" s="30" t="s">
        <v>51</v>
      </c>
      <c r="G11" s="31" t="s">
        <v>85</v>
      </c>
      <c r="H11" s="30" t="s">
        <v>70</v>
      </c>
      <c r="I11" s="33" t="s">
        <v>71</v>
      </c>
      <c r="J11" s="30" t="s">
        <v>72</v>
      </c>
      <c r="K11" s="30" t="s">
        <v>72</v>
      </c>
      <c r="L11" s="31" t="s">
        <v>81</v>
      </c>
      <c r="M11" s="31" t="s">
        <v>82</v>
      </c>
    </row>
    <row r="12" ht="36.0" customHeight="1">
      <c r="A12" s="34" t="s">
        <v>86</v>
      </c>
      <c r="B12" s="35" t="s">
        <v>76</v>
      </c>
      <c r="C12" s="35" t="s">
        <v>87</v>
      </c>
      <c r="D12" s="35" t="s">
        <v>88</v>
      </c>
      <c r="E12" s="34" t="s">
        <v>79</v>
      </c>
      <c r="F12" s="34" t="s">
        <v>63</v>
      </c>
      <c r="G12" s="35" t="s">
        <v>89</v>
      </c>
      <c r="H12" s="34" t="s">
        <v>70</v>
      </c>
      <c r="I12" s="37" t="s">
        <v>71</v>
      </c>
      <c r="J12" s="34" t="s">
        <v>72</v>
      </c>
      <c r="K12" s="34" t="s">
        <v>72</v>
      </c>
      <c r="L12" s="35" t="s">
        <v>81</v>
      </c>
      <c r="M12" s="35" t="s">
        <v>90</v>
      </c>
    </row>
    <row r="13" ht="36.0" customHeight="1">
      <c r="A13" s="30" t="s">
        <v>91</v>
      </c>
      <c r="B13" s="31" t="s">
        <v>76</v>
      </c>
      <c r="C13" s="31" t="s">
        <v>92</v>
      </c>
      <c r="D13" s="31" t="s">
        <v>78</v>
      </c>
      <c r="E13" s="30" t="s">
        <v>79</v>
      </c>
      <c r="F13" s="30" t="s">
        <v>63</v>
      </c>
      <c r="G13" s="31" t="s">
        <v>93</v>
      </c>
      <c r="H13" s="30" t="s">
        <v>70</v>
      </c>
      <c r="I13" s="33" t="s">
        <v>71</v>
      </c>
      <c r="J13" s="30" t="s">
        <v>72</v>
      </c>
      <c r="K13" s="30" t="s">
        <v>72</v>
      </c>
      <c r="L13" s="31" t="s">
        <v>81</v>
      </c>
      <c r="M13" s="31" t="s">
        <v>94</v>
      </c>
    </row>
    <row r="14" ht="18.0" customHeight="1">
      <c r="A14" s="29" t="s">
        <v>95</v>
      </c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1"/>
    </row>
    <row r="15" ht="36.0" customHeight="1">
      <c r="A15" s="30" t="s">
        <v>96</v>
      </c>
      <c r="B15" s="31" t="s">
        <v>97</v>
      </c>
      <c r="C15" s="31" t="s">
        <v>98</v>
      </c>
      <c r="D15" s="31" t="s">
        <v>68</v>
      </c>
      <c r="E15" s="30" t="s">
        <v>99</v>
      </c>
      <c r="F15" s="30" t="s">
        <v>63</v>
      </c>
      <c r="G15" s="31" t="s">
        <v>100</v>
      </c>
      <c r="H15" s="30" t="s">
        <v>70</v>
      </c>
      <c r="I15" s="33" t="s">
        <v>71</v>
      </c>
      <c r="J15" s="30" t="s">
        <v>72</v>
      </c>
      <c r="K15" s="30" t="s">
        <v>72</v>
      </c>
      <c r="L15" s="31" t="s">
        <v>101</v>
      </c>
      <c r="M15" s="31" t="s">
        <v>102</v>
      </c>
    </row>
    <row r="16" ht="36.0" customHeight="1">
      <c r="A16" s="34" t="s">
        <v>103</v>
      </c>
      <c r="B16" s="35" t="s">
        <v>97</v>
      </c>
      <c r="C16" s="35" t="s">
        <v>104</v>
      </c>
      <c r="D16" s="35" t="s">
        <v>68</v>
      </c>
      <c r="E16" s="34" t="s">
        <v>99</v>
      </c>
      <c r="F16" s="34" t="s">
        <v>63</v>
      </c>
      <c r="G16" s="35" t="s">
        <v>105</v>
      </c>
      <c r="H16" s="34" t="s">
        <v>70</v>
      </c>
      <c r="I16" s="37" t="s">
        <v>71</v>
      </c>
      <c r="J16" s="34" t="s">
        <v>72</v>
      </c>
      <c r="K16" s="34" t="s">
        <v>72</v>
      </c>
      <c r="L16" s="35" t="s">
        <v>101</v>
      </c>
      <c r="M16" s="35" t="s">
        <v>106</v>
      </c>
    </row>
    <row r="17" ht="36.0" customHeight="1">
      <c r="A17" s="30" t="s">
        <v>107</v>
      </c>
      <c r="B17" s="31" t="s">
        <v>97</v>
      </c>
      <c r="C17" s="31" t="s">
        <v>108</v>
      </c>
      <c r="D17" s="31" t="s">
        <v>49</v>
      </c>
      <c r="E17" s="30" t="s">
        <v>99</v>
      </c>
      <c r="F17" s="30" t="s">
        <v>51</v>
      </c>
      <c r="G17" s="31" t="s">
        <v>109</v>
      </c>
      <c r="H17" s="30" t="s">
        <v>70</v>
      </c>
      <c r="I17" s="33" t="s">
        <v>71</v>
      </c>
      <c r="J17" s="30" t="s">
        <v>72</v>
      </c>
      <c r="K17" s="30" t="s">
        <v>72</v>
      </c>
      <c r="L17" s="31" t="s">
        <v>101</v>
      </c>
      <c r="M17" s="31" t="s">
        <v>110</v>
      </c>
    </row>
    <row r="18" ht="18.0" customHeight="1">
      <c r="A18" s="29" t="s">
        <v>111</v>
      </c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1"/>
    </row>
    <row r="19" ht="36.0" customHeight="1">
      <c r="A19" s="30" t="s">
        <v>112</v>
      </c>
      <c r="B19" s="31" t="s">
        <v>113</v>
      </c>
      <c r="C19" s="31" t="s">
        <v>114</v>
      </c>
      <c r="D19" s="31" t="s">
        <v>115</v>
      </c>
      <c r="E19" s="30" t="s">
        <v>116</v>
      </c>
      <c r="F19" s="30" t="s">
        <v>51</v>
      </c>
      <c r="G19" s="31" t="s">
        <v>117</v>
      </c>
      <c r="H19" s="32">
        <v>92.0</v>
      </c>
      <c r="I19" s="33" t="str">
        <f t="shared" ref="I19:I22" si="2">IF(H19&gt;=85,"✅ Approuvé ★",IF(H19&gt;=60,"🟡 En observation","🔴 Rejeté"))</f>
        <v>✅ Approuvé ★</v>
      </c>
      <c r="J19" s="30" t="s">
        <v>53</v>
      </c>
      <c r="K19" s="30" t="s">
        <v>18</v>
      </c>
      <c r="L19" s="31" t="s">
        <v>118</v>
      </c>
      <c r="M19" s="31" t="s">
        <v>119</v>
      </c>
    </row>
    <row r="20" ht="36.0" customHeight="1">
      <c r="A20" s="34" t="s">
        <v>120</v>
      </c>
      <c r="B20" s="35" t="s">
        <v>113</v>
      </c>
      <c r="C20" s="35" t="s">
        <v>121</v>
      </c>
      <c r="D20" s="35" t="s">
        <v>115</v>
      </c>
      <c r="E20" s="34" t="s">
        <v>116</v>
      </c>
      <c r="F20" s="34" t="s">
        <v>51</v>
      </c>
      <c r="G20" s="35" t="s">
        <v>122</v>
      </c>
      <c r="H20" s="39">
        <v>90.0</v>
      </c>
      <c r="I20" s="37" t="str">
        <f t="shared" si="2"/>
        <v>✅ Approuvé ★</v>
      </c>
      <c r="J20" s="34" t="s">
        <v>53</v>
      </c>
      <c r="K20" s="34" t="s">
        <v>18</v>
      </c>
      <c r="L20" s="35" t="s">
        <v>118</v>
      </c>
      <c r="M20" s="35" t="s">
        <v>123</v>
      </c>
    </row>
    <row r="21" ht="36.0" customHeight="1">
      <c r="A21" s="30" t="s">
        <v>124</v>
      </c>
      <c r="B21" s="31" t="s">
        <v>113</v>
      </c>
      <c r="C21" s="31" t="s">
        <v>125</v>
      </c>
      <c r="D21" s="31" t="s">
        <v>126</v>
      </c>
      <c r="E21" s="30" t="s">
        <v>116</v>
      </c>
      <c r="F21" s="30" t="s">
        <v>63</v>
      </c>
      <c r="G21" s="31" t="s">
        <v>127</v>
      </c>
      <c r="H21" s="32">
        <v>88.0</v>
      </c>
      <c r="I21" s="33" t="str">
        <f t="shared" si="2"/>
        <v>✅ Approuvé ★</v>
      </c>
      <c r="J21" s="30" t="s">
        <v>53</v>
      </c>
      <c r="K21" s="30" t="s">
        <v>18</v>
      </c>
      <c r="L21" s="31" t="s">
        <v>118</v>
      </c>
      <c r="M21" s="31" t="s">
        <v>128</v>
      </c>
    </row>
    <row r="22" ht="36.0" customHeight="1">
      <c r="A22" s="34" t="s">
        <v>129</v>
      </c>
      <c r="B22" s="35" t="s">
        <v>113</v>
      </c>
      <c r="C22" s="35" t="s">
        <v>130</v>
      </c>
      <c r="D22" s="35" t="s">
        <v>126</v>
      </c>
      <c r="E22" s="34" t="s">
        <v>116</v>
      </c>
      <c r="F22" s="34" t="s">
        <v>51</v>
      </c>
      <c r="G22" s="35" t="s">
        <v>131</v>
      </c>
      <c r="H22" s="39">
        <v>86.0</v>
      </c>
      <c r="I22" s="37" t="str">
        <f t="shared" si="2"/>
        <v>✅ Approuvé ★</v>
      </c>
      <c r="J22" s="34" t="s">
        <v>53</v>
      </c>
      <c r="K22" s="34" t="s">
        <v>18</v>
      </c>
      <c r="L22" s="35" t="s">
        <v>118</v>
      </c>
      <c r="M22" s="35" t="s">
        <v>132</v>
      </c>
    </row>
    <row r="23" ht="36.0" customHeight="1">
      <c r="A23" s="30" t="s">
        <v>133</v>
      </c>
      <c r="B23" s="31" t="s">
        <v>113</v>
      </c>
      <c r="C23" s="31" t="s">
        <v>134</v>
      </c>
      <c r="D23" s="31" t="s">
        <v>135</v>
      </c>
      <c r="E23" s="30" t="s">
        <v>116</v>
      </c>
      <c r="F23" s="30" t="s">
        <v>63</v>
      </c>
      <c r="G23" s="31" t="s">
        <v>136</v>
      </c>
      <c r="H23" s="30" t="s">
        <v>70</v>
      </c>
      <c r="I23" s="33" t="s">
        <v>71</v>
      </c>
      <c r="J23" s="30" t="s">
        <v>72</v>
      </c>
      <c r="K23" s="30" t="s">
        <v>72</v>
      </c>
      <c r="L23" s="31" t="s">
        <v>118</v>
      </c>
      <c r="M23" s="31" t="s">
        <v>137</v>
      </c>
    </row>
    <row r="24" ht="14.25" customHeight="1"/>
    <row r="25" ht="14.25" customHeight="1">
      <c r="A25" s="25" t="s">
        <v>138</v>
      </c>
    </row>
    <row r="26" ht="21.75" customHeight="1">
      <c r="A26" s="40" t="s">
        <v>139</v>
      </c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1"/>
    </row>
    <row r="27" ht="27.75" customHeight="1">
      <c r="A27" s="41" t="s">
        <v>33</v>
      </c>
      <c r="B27" s="41" t="s">
        <v>140</v>
      </c>
      <c r="C27" s="41" t="s">
        <v>141</v>
      </c>
      <c r="D27" s="41" t="s">
        <v>142</v>
      </c>
      <c r="E27" s="41" t="s">
        <v>70</v>
      </c>
      <c r="F27" s="41" t="s">
        <v>143</v>
      </c>
      <c r="G27" s="41"/>
      <c r="H27" s="41"/>
      <c r="I27" s="41"/>
      <c r="J27" s="41"/>
      <c r="K27" s="41"/>
      <c r="L27" s="41"/>
      <c r="M27" s="41"/>
    </row>
    <row r="28" ht="30.0" customHeight="1">
      <c r="A28" s="42" t="s">
        <v>144</v>
      </c>
      <c r="B28" s="43">
        <v>4.0</v>
      </c>
      <c r="C28" s="44" t="s">
        <v>72</v>
      </c>
      <c r="D28" s="44" t="s">
        <v>72</v>
      </c>
      <c r="E28" s="44" t="s">
        <v>72</v>
      </c>
      <c r="F28" s="44" t="s">
        <v>72</v>
      </c>
    </row>
    <row r="29" ht="27.0" customHeight="1">
      <c r="A29" s="45" t="s">
        <v>145</v>
      </c>
      <c r="B29" s="46">
        <v>4.0</v>
      </c>
      <c r="C29" s="47" t="s">
        <v>72</v>
      </c>
      <c r="D29" s="47" t="s">
        <v>72</v>
      </c>
      <c r="E29" s="47" t="s">
        <v>72</v>
      </c>
      <c r="F29" s="47" t="s">
        <v>72</v>
      </c>
    </row>
    <row r="30" ht="30.0" customHeight="1">
      <c r="A30" s="42" t="s">
        <v>146</v>
      </c>
      <c r="B30" s="43">
        <v>3.0</v>
      </c>
      <c r="C30" s="44" t="s">
        <v>72</v>
      </c>
      <c r="D30" s="44" t="s">
        <v>72</v>
      </c>
      <c r="E30" s="44" t="s">
        <v>72</v>
      </c>
      <c r="F30" s="44" t="s">
        <v>72</v>
      </c>
    </row>
    <row r="31" ht="26.25" customHeight="1">
      <c r="A31" s="45" t="s">
        <v>147</v>
      </c>
      <c r="B31" s="46">
        <v>5.0</v>
      </c>
      <c r="C31" s="47" t="s">
        <v>72</v>
      </c>
      <c r="D31" s="47" t="s">
        <v>72</v>
      </c>
      <c r="E31" s="47" t="s">
        <v>72</v>
      </c>
      <c r="F31" s="47" t="s">
        <v>72</v>
      </c>
    </row>
    <row r="32" ht="28.5" customHeight="1">
      <c r="A32" s="48" t="s">
        <v>148</v>
      </c>
      <c r="B32" s="49">
        <v>16.0</v>
      </c>
      <c r="C32" s="50" t="s">
        <v>72</v>
      </c>
      <c r="D32" s="50" t="s">
        <v>72</v>
      </c>
      <c r="E32" s="50" t="s">
        <v>72</v>
      </c>
      <c r="F32" s="50" t="s">
        <v>72</v>
      </c>
    </row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8">
    <mergeCell ref="A1:M1"/>
    <mergeCell ref="A2:M2"/>
    <mergeCell ref="A4:M4"/>
    <mergeCell ref="A9:M9"/>
    <mergeCell ref="A14:M14"/>
    <mergeCell ref="A18:M18"/>
    <mergeCell ref="A25:M25"/>
    <mergeCell ref="A26:M26"/>
  </mergeCells>
  <printOptions/>
  <pageMargins bottom="1.0" footer="0.0" header="0.0" left="0.75" right="0.75" top="1.0"/>
  <pageSetup fitToHeight="0" paperSize="9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2026-06-06T11:27:44Z</dcterms:created>
  <dc:creator>openpyxl</dc:creator>
</cp:coreProperties>
</file>