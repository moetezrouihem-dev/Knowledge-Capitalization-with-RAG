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Downloads\"/>
    </mc:Choice>
  </mc:AlternateContent>
  <xr:revisionPtr revIDLastSave="0" documentId="13_ncr:1_{1866400A-592E-4DC6-9A7C-3A71B0E7804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DENTITÉ" sheetId="1" r:id="rId1"/>
    <sheet name="REGISTR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2" l="1"/>
  <c r="J14" i="2"/>
  <c r="I14" i="2"/>
  <c r="H14" i="2"/>
  <c r="G14" i="2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L14" i="2" s="1"/>
  <c r="M4" i="2" l="1"/>
  <c r="M14" i="2" s="1"/>
</calcChain>
</file>

<file path=xl/sharedStrings.xml><?xml version="1.0" encoding="utf-8"?>
<sst xmlns="http://schemas.openxmlformats.org/spreadsheetml/2006/main" count="111" uniqueCount="88">
  <si>
    <t>Référence document :</t>
  </si>
  <si>
    <t>SMQ-FOR-035-D</t>
  </si>
  <si>
    <t>Version :</t>
  </si>
  <si>
    <t>V01</t>
  </si>
  <si>
    <t>Date de création :</t>
  </si>
  <si>
    <t>Mars 2026</t>
  </si>
  <si>
    <t>Statut :</t>
  </si>
  <si>
    <t>En Vigueur</t>
  </si>
  <si>
    <t>Clause ISO 9001:2015 :</t>
  </si>
  <si>
    <t>§8.4 — Maîtrise des prestataires externes</t>
  </si>
  <si>
    <t>PÉRIMÈTRE : BU PR1 Telco  │  BU PR2 Digital &amp; Entreprises  │  Applicable à tout fournisseur externe SFM Technologies</t>
  </si>
  <si>
    <t>REGISTRE DE SUIVI DES ÉVALUATIONS FOURNISSEURS  |  SMQ-FOR-035-D</t>
  </si>
  <si>
    <t>IDENTIFICATION</t>
  </si>
  <si>
    <t>SCORES PAR DOMAINE (1–5)</t>
  </si>
  <si>
    <t>DÉCISION GLOBALE</t>
  </si>
  <si>
    <t>SUIVI</t>
  </si>
  <si>
    <t>#</t>
  </si>
  <si>
    <t>Dénomination Fournisseur</t>
  </si>
  <si>
    <t>Secteur / Spécialité</t>
  </si>
  <si>
    <t>Évaluateur SFM</t>
  </si>
  <si>
    <t>Date Éval.</t>
  </si>
  <si>
    <t>Type Éval.</t>
  </si>
  <si>
    <t>Qualité
Technique
(QT /5)</t>
  </si>
  <si>
    <t>Respect
Délais
(RD /5)</t>
  </si>
  <si>
    <t>Réactivité
Comm.
(RC /5)</t>
  </si>
  <si>
    <t>Sécurité
RGPD
(CS /5)</t>
  </si>
  <si>
    <t>Solidité
Financ.
(SF /5)</t>
  </si>
  <si>
    <t>SCORE
GLOBAL
(/5)</t>
  </si>
  <si>
    <t>DÉCISION
SMQ</t>
  </si>
  <si>
    <t>Prochaine
Éval.</t>
  </si>
  <si>
    <t>Observations / Actions</t>
  </si>
  <si>
    <t>Ericsson France SAS</t>
  </si>
  <si>
    <t>5G / Telco Infrastructure</t>
  </si>
  <si>
    <t>M. Dupont</t>
  </si>
  <si>
    <t>15/01/2026</t>
  </si>
  <si>
    <t>Périodique</t>
  </si>
  <si>
    <t>___/___/______</t>
  </si>
  <si>
    <t>RAS — Fournisseur stratégique 5G</t>
  </si>
  <si>
    <t>Capgemini Engineering</t>
  </si>
  <si>
    <t>Conseil / Transformation Digitale</t>
  </si>
  <si>
    <t>Mme. Martin</t>
  </si>
  <si>
    <t>20/01/2026</t>
  </si>
  <si>
    <t>Retard ponctuel sur livrable API OSS</t>
  </si>
  <si>
    <t>SecureWave Cybersecurity</t>
  </si>
  <si>
    <t>Sécurité SI / SOC-as-a-Service</t>
  </si>
  <si>
    <t>M. Benali</t>
  </si>
  <si>
    <t>05/02/2026</t>
  </si>
  <si>
    <t>Initiale</t>
  </si>
  <si>
    <t>Mise en conformité RGPD en cours</t>
  </si>
  <si>
    <t>TeleData Solutions</t>
  </si>
  <si>
    <t>SaaS / Plateformes Télécom</t>
  </si>
  <si>
    <t>10/02/2026</t>
  </si>
  <si>
    <t>Plan de progrès activé – revue T2 2026</t>
  </si>
  <si>
    <t>Nokia Networks</t>
  </si>
  <si>
    <t>5G Core / OSS-BSS</t>
  </si>
  <si>
    <t>18/02/2026</t>
  </si>
  <si>
    <t>Renouvellement contrat cadre prévu Q3</t>
  </si>
  <si>
    <t>DataVault RGPD</t>
  </si>
  <si>
    <t>DPO as a Service / Conformité</t>
  </si>
  <si>
    <t>01/03/2026</t>
  </si>
  <si>
    <t>Registre de traitement à compléter</t>
  </si>
  <si>
    <t>Infosys France</t>
  </si>
  <si>
    <t>IT Outsourcing / Cloud SaaS</t>
  </si>
  <si>
    <t>08/03/2026</t>
  </si>
  <si>
    <t>Suite incident</t>
  </si>
  <si>
    <t>Incident sécurité résolu – surveillance renforcée</t>
  </si>
  <si>
    <t>Huawei Enterprise FR</t>
  </si>
  <si>
    <t>5G / IoT / Smart City</t>
  </si>
  <si>
    <t>15/03/2026</t>
  </si>
  <si>
    <t>Veille 5G SA – bonne collaboration</t>
  </si>
  <si>
    <t>Altran Technologies</t>
  </si>
  <si>
    <t>Ingénierie Telco / R&amp;D</t>
  </si>
  <si>
    <t>22/03/2026</t>
  </si>
  <si>
    <t>Performance stable – certif. ISTQB vérifiée</t>
  </si>
  <si>
    <t>CloudPath SAS</t>
  </si>
  <si>
    <t>IaaS / PaaS / DevOps</t>
  </si>
  <si>
    <t>30/03/2026</t>
  </si>
  <si>
    <t>NC critique : livrable non conforme – dossier ouvert</t>
  </si>
  <si>
    <t>MOYENNES DOMAINE :</t>
  </si>
  <si>
    <t>LÉGENDE — CODE COULEURS   |   Score &lt; 2,5 → Disqualification (rouge)   |   2,5 ≤ Score ≤ 3,5 → Plan de Progrès requis (orange)   |   Score &gt; 3,5 → Fournisseur Qualifié (vert)</t>
  </si>
  <si>
    <t>RÉDIGÉ PAR</t>
  </si>
  <si>
    <t>VÉRIFIÉ PAR</t>
  </si>
  <si>
    <t>APPROUVÉ PAR</t>
  </si>
  <si>
    <t>Pilote SMQ / Resp. Qualité
Signature : __________________
Date : ___/___/______</t>
  </si>
  <si>
    <t>BU Leaders
Signature : __________________
Date : ___/___/______</t>
  </si>
  <si>
    <t>Direction Générale
Signature : __________________
Date : ___/___/______</t>
  </si>
  <si>
    <r>
      <rPr>
        <b/>
        <sz val="13"/>
        <color theme="3"/>
        <rFont val="Calibri"/>
        <family val="2"/>
      </rPr>
      <t>SYSTÈME DE MANAGEMENT DE LA QUALITÉ</t>
    </r>
    <r>
      <rPr>
        <b/>
        <sz val="13"/>
        <rFont val="Calibri"/>
        <family val="2"/>
      </rPr>
      <t xml:space="preserve">
REGISTRE DE SUIVI DES ÉVALUATIONS FOURNISSEURS</t>
    </r>
  </si>
  <si>
    <r>
      <rPr>
        <b/>
        <sz val="11"/>
        <rFont val="Calibri"/>
        <family val="2"/>
      </rPr>
      <t xml:space="preserve">Réf. : SMQ-FOR-035-D
Version : V01
Date : Mai 2026
</t>
    </r>
    <r>
      <rPr>
        <b/>
        <sz val="11"/>
        <color theme="9"/>
        <rFont val="Calibri"/>
        <family val="2"/>
      </rPr>
      <t>Statut : En vigueur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</si>
</sst>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1F2D3D"/>
      <name val="Arial"/>
      <family val="2"/>
    </font>
    <font>
      <sz val="9"/>
      <color rgb="FF1F2D3D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sz val="8"/>
      <color rgb="FF1F2D3D"/>
      <name val="Arial"/>
      <family val="2"/>
    </font>
    <font>
      <i/>
      <sz val="8"/>
      <color rgb="FF1F2D3D"/>
      <name val="Arial"/>
      <family val="2"/>
    </font>
    <font>
      <b/>
      <sz val="13"/>
      <name val="Calibri"/>
      <family val="2"/>
    </font>
    <font>
      <b/>
      <sz val="13"/>
      <color theme="3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theme="9"/>
      <name val="Calibri"/>
      <family val="2"/>
    </font>
    <font>
      <sz val="10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7A7C"/>
        <bgColor rgb="FF0066CC"/>
      </patternFill>
    </fill>
    <fill>
      <patternFill patternType="solid">
        <fgColor rgb="FFD9E1EA"/>
        <bgColor rgb="FFF2F6F9"/>
      </patternFill>
    </fill>
    <fill>
      <patternFill patternType="solid">
        <fgColor rgb="FF00A9A5"/>
        <bgColor rgb="FF27AE60"/>
      </patternFill>
    </fill>
    <fill>
      <patternFill patternType="solid">
        <fgColor rgb="FFE87722"/>
        <bgColor rgb="FFFF9900"/>
      </patternFill>
    </fill>
    <fill>
      <patternFill patternType="solid">
        <fgColor rgb="FF1F2D3D"/>
        <bgColor rgb="FF003366"/>
      </patternFill>
    </fill>
    <fill>
      <patternFill patternType="solid">
        <fgColor rgb="FFF2F6F9"/>
        <bgColor rgb="FFFFFFFF"/>
      </patternFill>
    </fill>
    <fill>
      <patternFill patternType="solid">
        <fgColor rgb="FFFFFFFF"/>
        <bgColor rgb="FFF2F6F9"/>
      </patternFill>
    </fill>
    <fill>
      <patternFill patternType="solid">
        <fgColor rgb="FFE9ECEF"/>
      </patternFill>
    </fill>
    <fill>
      <patternFill patternType="solid">
        <fgColor rgb="FF1F4068"/>
      </patternFill>
    </fill>
    <fill>
      <patternFill patternType="solid">
        <fgColor rgb="FF0F7F8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2" fontId="2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2" fontId="2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 indent="1"/>
    </xf>
    <xf numFmtId="2" fontId="5" fillId="2" borderId="1" xfId="0" applyNumberFormat="1" applyFont="1" applyFill="1" applyBorder="1" applyAlignment="1">
      <alignment horizontal="center" vertical="center"/>
    </xf>
    <xf numFmtId="0" fontId="0" fillId="9" borderId="1" xfId="0" applyFill="1" applyBorder="1"/>
    <xf numFmtId="0" fontId="10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0" fillId="0" borderId="0" xfId="0"/>
    <xf numFmtId="0" fontId="12" fillId="11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0" xfId="0" applyFont="1"/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sz val="9"/>
        <color rgb="FFFFFFFF"/>
        <name val="Arial"/>
        <charset val="1"/>
      </font>
      <fill>
        <patternFill>
          <bgColor rgb="FF27AE60"/>
        </patternFill>
      </fill>
    </dxf>
    <dxf>
      <font>
        <b/>
        <sz val="9"/>
        <color rgb="FFFFFFFF"/>
        <name val="Arial"/>
        <charset val="1"/>
      </font>
      <fill>
        <patternFill>
          <bgColor rgb="FFE87722"/>
        </patternFill>
      </fill>
    </dxf>
    <dxf>
      <font>
        <b/>
        <sz val="9"/>
        <color rgb="FFFFFFFF"/>
        <name val="Arial"/>
        <charset val="1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7C"/>
      <rgbColor rgb="FFC0C0C0"/>
      <rgbColor rgb="FF808080"/>
      <rgbColor rgb="FF9999FF"/>
      <rgbColor rgb="FF993366"/>
      <rgbColor rgb="FFF2F6F9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A9A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409700" cy="6019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044DDF2-A239-4157-84A0-AFAC099731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409700" cy="6019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zoomScaleNormal="100" workbookViewId="0">
      <selection activeCell="L8" sqref="L8"/>
    </sheetView>
  </sheetViews>
  <sheetFormatPr baseColWidth="10" defaultColWidth="8.6640625" defaultRowHeight="14.4" x14ac:dyDescent="0.3"/>
  <cols>
    <col min="1" max="1" width="18.44140625" customWidth="1"/>
    <col min="2" max="2" width="3.33203125" customWidth="1"/>
    <col min="3" max="3" width="22" customWidth="1"/>
    <col min="4" max="4" width="9.33203125" customWidth="1"/>
    <col min="5" max="5" width="22" customWidth="1"/>
    <col min="8" max="8" width="14.109375" customWidth="1"/>
  </cols>
  <sheetData>
    <row r="1" spans="1:8" ht="13.5" customHeight="1" x14ac:dyDescent="0.3">
      <c r="A1" s="23"/>
      <c r="B1" s="23"/>
      <c r="C1" s="24" t="s">
        <v>86</v>
      </c>
      <c r="D1" s="23"/>
      <c r="E1" s="23"/>
      <c r="F1" s="23"/>
      <c r="G1" s="28" t="s">
        <v>87</v>
      </c>
      <c r="H1" s="23"/>
    </row>
    <row r="2" spans="1:8" ht="45.75" customHeight="1" x14ac:dyDescent="0.3">
      <c r="A2" s="23"/>
      <c r="B2" s="23"/>
      <c r="C2" s="23"/>
      <c r="D2" s="23"/>
      <c r="E2" s="23"/>
      <c r="F2" s="23"/>
      <c r="G2" s="23"/>
      <c r="H2" s="23"/>
    </row>
    <row r="3" spans="1:8" ht="22.8" customHeight="1" x14ac:dyDescent="0.3">
      <c r="A3" s="25" t="s">
        <v>80</v>
      </c>
      <c r="B3" s="26"/>
      <c r="C3" s="27" t="s">
        <v>81</v>
      </c>
      <c r="D3" s="26"/>
      <c r="E3" s="26"/>
      <c r="F3" s="26"/>
      <c r="G3" s="25" t="s">
        <v>82</v>
      </c>
      <c r="H3" s="26"/>
    </row>
    <row r="4" spans="1:8" ht="61.2" customHeight="1" x14ac:dyDescent="0.3">
      <c r="A4" s="29" t="s">
        <v>83</v>
      </c>
      <c r="B4" s="30"/>
      <c r="C4" s="29" t="s">
        <v>84</v>
      </c>
      <c r="D4" s="30"/>
      <c r="E4" s="30"/>
      <c r="F4" s="30"/>
      <c r="G4" s="29" t="s">
        <v>85</v>
      </c>
      <c r="H4" s="30"/>
    </row>
    <row r="5" spans="1:8" ht="13.5" customHeight="1" x14ac:dyDescent="0.3"/>
    <row r="6" spans="1:8" ht="19.5" customHeight="1" x14ac:dyDescent="0.3">
      <c r="A6" s="10" t="s">
        <v>0</v>
      </c>
      <c r="B6" s="9" t="s">
        <v>1</v>
      </c>
      <c r="C6" s="9"/>
      <c r="D6" s="9"/>
      <c r="E6" s="9"/>
    </row>
    <row r="7" spans="1:8" ht="19.5" customHeight="1" x14ac:dyDescent="0.3">
      <c r="A7" s="10" t="s">
        <v>2</v>
      </c>
      <c r="B7" s="9" t="s">
        <v>3</v>
      </c>
      <c r="C7" s="9"/>
      <c r="D7" s="9"/>
      <c r="E7" s="9"/>
    </row>
    <row r="8" spans="1:8" ht="19.5" customHeight="1" x14ac:dyDescent="0.3">
      <c r="A8" s="10" t="s">
        <v>4</v>
      </c>
      <c r="B8" s="9" t="s">
        <v>5</v>
      </c>
      <c r="C8" s="9"/>
      <c r="D8" s="9"/>
      <c r="E8" s="9"/>
    </row>
    <row r="9" spans="1:8" ht="19.5" customHeight="1" x14ac:dyDescent="0.3">
      <c r="A9" s="10" t="s">
        <v>6</v>
      </c>
      <c r="B9" s="9" t="s">
        <v>7</v>
      </c>
      <c r="C9" s="9"/>
      <c r="D9" s="9"/>
      <c r="E9" s="9"/>
    </row>
    <row r="10" spans="1:8" ht="19.5" customHeight="1" x14ac:dyDescent="0.3">
      <c r="A10" s="10" t="s">
        <v>8</v>
      </c>
      <c r="B10" s="9" t="s">
        <v>9</v>
      </c>
      <c r="C10" s="9"/>
      <c r="D10" s="9"/>
      <c r="E10" s="9"/>
    </row>
    <row r="11" spans="1:8" ht="43.2" customHeight="1" x14ac:dyDescent="0.3">
      <c r="A11" s="31" t="s">
        <v>10</v>
      </c>
      <c r="B11" s="32"/>
      <c r="C11" s="32"/>
      <c r="D11" s="32"/>
      <c r="E11" s="32"/>
      <c r="F11" s="32"/>
      <c r="G11" s="32"/>
      <c r="H11" s="32"/>
    </row>
    <row r="12" spans="1:8" ht="21.75" customHeight="1" x14ac:dyDescent="0.3"/>
  </sheetData>
  <mergeCells count="15">
    <mergeCell ref="G1:H2"/>
    <mergeCell ref="A3:B3"/>
    <mergeCell ref="C3:F3"/>
    <mergeCell ref="G3:H3"/>
    <mergeCell ref="A4:B4"/>
    <mergeCell ref="C4:F4"/>
    <mergeCell ref="G4:H4"/>
    <mergeCell ref="B9:E9"/>
    <mergeCell ref="B10:E10"/>
    <mergeCell ref="A11:H11"/>
    <mergeCell ref="B6:E6"/>
    <mergeCell ref="B7:E7"/>
    <mergeCell ref="B8:E8"/>
    <mergeCell ref="A1:B2"/>
    <mergeCell ref="C1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showGridLines="0" tabSelected="1" zoomScaleNormal="100" workbookViewId="0">
      <pane ySplit="3" topLeftCell="A4" activePane="bottomLeft" state="frozen"/>
      <selection pane="bottomLeft" sqref="A1:O1"/>
    </sheetView>
  </sheetViews>
  <sheetFormatPr baseColWidth="10" defaultColWidth="8.6640625" defaultRowHeight="14.4" x14ac:dyDescent="0.3"/>
  <cols>
    <col min="1" max="1" width="8" customWidth="1"/>
    <col min="2" max="2" width="24" customWidth="1"/>
    <col min="3" max="3" width="22" customWidth="1"/>
    <col min="4" max="4" width="18" customWidth="1"/>
    <col min="5" max="5" width="13" customWidth="1"/>
    <col min="6" max="6" width="14" customWidth="1"/>
    <col min="7" max="11" width="11" customWidth="1"/>
    <col min="12" max="12" width="13" customWidth="1"/>
    <col min="13" max="13" width="25.109375" customWidth="1"/>
    <col min="14" max="14" width="14" customWidth="1"/>
    <col min="15" max="15" width="30" customWidth="1"/>
  </cols>
  <sheetData>
    <row r="1" spans="1:15" ht="36" customHeight="1" x14ac:dyDescent="0.3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9.5" customHeight="1" x14ac:dyDescent="0.3">
      <c r="A2" s="6" t="s">
        <v>12</v>
      </c>
      <c r="B2" s="6"/>
      <c r="C2" s="6"/>
      <c r="D2" s="6"/>
      <c r="E2" s="6"/>
      <c r="F2" s="6"/>
      <c r="G2" s="5" t="s">
        <v>13</v>
      </c>
      <c r="H2" s="5"/>
      <c r="I2" s="5"/>
      <c r="J2" s="5"/>
      <c r="K2" s="5"/>
      <c r="L2" s="4" t="s">
        <v>14</v>
      </c>
      <c r="M2" s="4"/>
      <c r="N2" s="8" t="s">
        <v>15</v>
      </c>
      <c r="O2" s="8"/>
    </row>
    <row r="3" spans="1:15" ht="39.75" customHeight="1" x14ac:dyDescent="0.3">
      <c r="A3" s="11" t="s">
        <v>16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</row>
    <row r="4" spans="1:15" ht="21.75" customHeight="1" x14ac:dyDescent="0.3">
      <c r="A4" s="12">
        <v>1</v>
      </c>
      <c r="B4" s="13" t="s">
        <v>31</v>
      </c>
      <c r="C4" s="13" t="s">
        <v>32</v>
      </c>
      <c r="D4" s="13" t="s">
        <v>33</v>
      </c>
      <c r="E4" s="12" t="s">
        <v>34</v>
      </c>
      <c r="F4" s="12" t="s">
        <v>35</v>
      </c>
      <c r="G4" s="12">
        <v>4</v>
      </c>
      <c r="H4" s="12">
        <v>4</v>
      </c>
      <c r="I4" s="12">
        <v>5</v>
      </c>
      <c r="J4" s="12">
        <v>5</v>
      </c>
      <c r="K4" s="12">
        <v>5</v>
      </c>
      <c r="L4" s="14">
        <f t="shared" ref="L4:L13" si="0">IFERROR(AVERAGE(G4:K4),"")</f>
        <v>4.5999999999999996</v>
      </c>
      <c r="M4" s="15" t="str">
        <f t="shared" ref="M4:M13" si="1">IF(L4="","",IF(L4&lt;2.5,"⛔ DISQUALIFIÉ",IF(L4&lt;=3.5,"⚠ PLAN DE PROGRÈS","✅ FOURNISSEUR QUALIFIÉ")))</f>
        <v>✅ FOURNISSEUR QUALIFIÉ</v>
      </c>
      <c r="N4" s="12" t="s">
        <v>36</v>
      </c>
      <c r="O4" s="16" t="s">
        <v>37</v>
      </c>
    </row>
    <row r="5" spans="1:15" ht="21.75" customHeight="1" x14ac:dyDescent="0.3">
      <c r="A5" s="17">
        <v>2</v>
      </c>
      <c r="B5" s="18" t="s">
        <v>38</v>
      </c>
      <c r="C5" s="18" t="s">
        <v>39</v>
      </c>
      <c r="D5" s="18" t="s">
        <v>40</v>
      </c>
      <c r="E5" s="17" t="s">
        <v>41</v>
      </c>
      <c r="F5" s="17" t="s">
        <v>35</v>
      </c>
      <c r="G5" s="17">
        <v>4</v>
      </c>
      <c r="H5" s="17">
        <v>3</v>
      </c>
      <c r="I5" s="17">
        <v>4</v>
      </c>
      <c r="J5" s="17">
        <v>4</v>
      </c>
      <c r="K5" s="17">
        <v>5</v>
      </c>
      <c r="L5" s="19">
        <f t="shared" si="0"/>
        <v>4</v>
      </c>
      <c r="M5" s="20" t="str">
        <f t="shared" si="1"/>
        <v>✅ FOURNISSEUR QUALIFIÉ</v>
      </c>
      <c r="N5" s="17" t="s">
        <v>36</v>
      </c>
      <c r="O5" s="21" t="s">
        <v>42</v>
      </c>
    </row>
    <row r="6" spans="1:15" ht="21.75" customHeight="1" x14ac:dyDescent="0.3">
      <c r="A6" s="12">
        <v>3</v>
      </c>
      <c r="B6" s="13" t="s">
        <v>43</v>
      </c>
      <c r="C6" s="13" t="s">
        <v>44</v>
      </c>
      <c r="D6" s="13" t="s">
        <v>45</v>
      </c>
      <c r="E6" s="12" t="s">
        <v>46</v>
      </c>
      <c r="F6" s="12" t="s">
        <v>47</v>
      </c>
      <c r="G6" s="12">
        <v>3</v>
      </c>
      <c r="H6" s="12">
        <v>4</v>
      </c>
      <c r="I6" s="12">
        <v>3</v>
      </c>
      <c r="J6" s="12">
        <v>5</v>
      </c>
      <c r="K6" s="12">
        <v>3</v>
      </c>
      <c r="L6" s="14">
        <f t="shared" si="0"/>
        <v>3.6</v>
      </c>
      <c r="M6" s="15" t="str">
        <f t="shared" si="1"/>
        <v>✅ FOURNISSEUR QUALIFIÉ</v>
      </c>
      <c r="N6" s="12" t="s">
        <v>36</v>
      </c>
      <c r="O6" s="16" t="s">
        <v>48</v>
      </c>
    </row>
    <row r="7" spans="1:15" ht="21.75" customHeight="1" x14ac:dyDescent="0.3">
      <c r="A7" s="17">
        <v>4</v>
      </c>
      <c r="B7" s="18" t="s">
        <v>49</v>
      </c>
      <c r="C7" s="18" t="s">
        <v>50</v>
      </c>
      <c r="D7" s="18" t="s">
        <v>33</v>
      </c>
      <c r="E7" s="17" t="s">
        <v>51</v>
      </c>
      <c r="F7" s="17" t="s">
        <v>35</v>
      </c>
      <c r="G7" s="17">
        <v>2</v>
      </c>
      <c r="H7" s="17">
        <v>2</v>
      </c>
      <c r="I7" s="17">
        <v>3</v>
      </c>
      <c r="J7" s="17">
        <v>3</v>
      </c>
      <c r="K7" s="17">
        <v>2</v>
      </c>
      <c r="L7" s="19">
        <f t="shared" si="0"/>
        <v>2.4</v>
      </c>
      <c r="M7" s="20" t="str">
        <f t="shared" si="1"/>
        <v>⛔ DISQUALIFIÉ</v>
      </c>
      <c r="N7" s="17" t="s">
        <v>36</v>
      </c>
      <c r="O7" s="21" t="s">
        <v>52</v>
      </c>
    </row>
    <row r="8" spans="1:15" ht="21.75" customHeight="1" x14ac:dyDescent="0.3">
      <c r="A8" s="12">
        <v>5</v>
      </c>
      <c r="B8" s="13" t="s">
        <v>53</v>
      </c>
      <c r="C8" s="13" t="s">
        <v>54</v>
      </c>
      <c r="D8" s="13" t="s">
        <v>40</v>
      </c>
      <c r="E8" s="12" t="s">
        <v>55</v>
      </c>
      <c r="F8" s="12" t="s">
        <v>35</v>
      </c>
      <c r="G8" s="12">
        <v>5</v>
      </c>
      <c r="H8" s="12">
        <v>5</v>
      </c>
      <c r="I8" s="12">
        <v>4</v>
      </c>
      <c r="J8" s="12">
        <v>5</v>
      </c>
      <c r="K8" s="12">
        <v>5</v>
      </c>
      <c r="L8" s="14">
        <f t="shared" si="0"/>
        <v>4.8</v>
      </c>
      <c r="M8" s="15" t="str">
        <f t="shared" si="1"/>
        <v>✅ FOURNISSEUR QUALIFIÉ</v>
      </c>
      <c r="N8" s="12" t="s">
        <v>36</v>
      </c>
      <c r="O8" s="16" t="s">
        <v>56</v>
      </c>
    </row>
    <row r="9" spans="1:15" ht="21.75" customHeight="1" x14ac:dyDescent="0.3">
      <c r="A9" s="17">
        <v>6</v>
      </c>
      <c r="B9" s="18" t="s">
        <v>57</v>
      </c>
      <c r="C9" s="18" t="s">
        <v>58</v>
      </c>
      <c r="D9" s="18" t="s">
        <v>45</v>
      </c>
      <c r="E9" s="17" t="s">
        <v>59</v>
      </c>
      <c r="F9" s="17" t="s">
        <v>47</v>
      </c>
      <c r="G9" s="17">
        <v>3</v>
      </c>
      <c r="H9" s="17">
        <v>3</v>
      </c>
      <c r="I9" s="17">
        <v>3</v>
      </c>
      <c r="J9" s="17">
        <v>4</v>
      </c>
      <c r="K9" s="17">
        <v>3</v>
      </c>
      <c r="L9" s="19">
        <f t="shared" si="0"/>
        <v>3.2</v>
      </c>
      <c r="M9" s="20" t="str">
        <f t="shared" si="1"/>
        <v>⚠ PLAN DE PROGRÈS</v>
      </c>
      <c r="N9" s="17" t="s">
        <v>36</v>
      </c>
      <c r="O9" s="21" t="s">
        <v>60</v>
      </c>
    </row>
    <row r="10" spans="1:15" ht="21.75" customHeight="1" x14ac:dyDescent="0.3">
      <c r="A10" s="12">
        <v>7</v>
      </c>
      <c r="B10" s="13" t="s">
        <v>61</v>
      </c>
      <c r="C10" s="13" t="s">
        <v>62</v>
      </c>
      <c r="D10" s="13" t="s">
        <v>33</v>
      </c>
      <c r="E10" s="12" t="s">
        <v>63</v>
      </c>
      <c r="F10" s="12" t="s">
        <v>64</v>
      </c>
      <c r="G10" s="12">
        <v>2</v>
      </c>
      <c r="H10" s="12">
        <v>3</v>
      </c>
      <c r="I10" s="12">
        <v>2</v>
      </c>
      <c r="J10" s="12">
        <v>3</v>
      </c>
      <c r="K10" s="12">
        <v>3</v>
      </c>
      <c r="L10" s="14">
        <f t="shared" si="0"/>
        <v>2.6</v>
      </c>
      <c r="M10" s="15" t="str">
        <f t="shared" si="1"/>
        <v>⚠ PLAN DE PROGRÈS</v>
      </c>
      <c r="N10" s="12" t="s">
        <v>36</v>
      </c>
      <c r="O10" s="16" t="s">
        <v>65</v>
      </c>
    </row>
    <row r="11" spans="1:15" ht="21.75" customHeight="1" x14ac:dyDescent="0.3">
      <c r="A11" s="17">
        <v>8</v>
      </c>
      <c r="B11" s="18" t="s">
        <v>66</v>
      </c>
      <c r="C11" s="18" t="s">
        <v>67</v>
      </c>
      <c r="D11" s="18" t="s">
        <v>40</v>
      </c>
      <c r="E11" s="17" t="s">
        <v>68</v>
      </c>
      <c r="F11" s="17" t="s">
        <v>35</v>
      </c>
      <c r="G11" s="17">
        <v>4</v>
      </c>
      <c r="H11" s="17">
        <v>4</v>
      </c>
      <c r="I11" s="17">
        <v>4</v>
      </c>
      <c r="J11" s="17">
        <v>3</v>
      </c>
      <c r="K11" s="17">
        <v>4</v>
      </c>
      <c r="L11" s="19">
        <f t="shared" si="0"/>
        <v>3.8</v>
      </c>
      <c r="M11" s="20" t="str">
        <f t="shared" si="1"/>
        <v>✅ FOURNISSEUR QUALIFIÉ</v>
      </c>
      <c r="N11" s="17" t="s">
        <v>36</v>
      </c>
      <c r="O11" s="21" t="s">
        <v>69</v>
      </c>
    </row>
    <row r="12" spans="1:15" ht="21.75" customHeight="1" x14ac:dyDescent="0.3">
      <c r="A12" s="12">
        <v>9</v>
      </c>
      <c r="B12" s="13" t="s">
        <v>70</v>
      </c>
      <c r="C12" s="13" t="s">
        <v>71</v>
      </c>
      <c r="D12" s="13" t="s">
        <v>45</v>
      </c>
      <c r="E12" s="12" t="s">
        <v>72</v>
      </c>
      <c r="F12" s="12" t="s">
        <v>35</v>
      </c>
      <c r="G12" s="12">
        <v>4</v>
      </c>
      <c r="H12" s="12">
        <v>5</v>
      </c>
      <c r="I12" s="12">
        <v>4</v>
      </c>
      <c r="J12" s="12">
        <v>4</v>
      </c>
      <c r="K12" s="12">
        <v>4</v>
      </c>
      <c r="L12" s="14">
        <f t="shared" si="0"/>
        <v>4.2</v>
      </c>
      <c r="M12" s="15" t="str">
        <f t="shared" si="1"/>
        <v>✅ FOURNISSEUR QUALIFIÉ</v>
      </c>
      <c r="N12" s="12" t="s">
        <v>36</v>
      </c>
      <c r="O12" s="16" t="s">
        <v>73</v>
      </c>
    </row>
    <row r="13" spans="1:15" ht="21.75" customHeight="1" x14ac:dyDescent="0.3">
      <c r="A13" s="17">
        <v>10</v>
      </c>
      <c r="B13" s="18" t="s">
        <v>74</v>
      </c>
      <c r="C13" s="18" t="s">
        <v>75</v>
      </c>
      <c r="D13" s="18" t="s">
        <v>33</v>
      </c>
      <c r="E13" s="17" t="s">
        <v>76</v>
      </c>
      <c r="F13" s="17" t="s">
        <v>47</v>
      </c>
      <c r="G13" s="17">
        <v>1</v>
      </c>
      <c r="H13" s="17">
        <v>2</v>
      </c>
      <c r="I13" s="17">
        <v>2</v>
      </c>
      <c r="J13" s="17">
        <v>2</v>
      </c>
      <c r="K13" s="17">
        <v>1</v>
      </c>
      <c r="L13" s="19">
        <f t="shared" si="0"/>
        <v>1.6</v>
      </c>
      <c r="M13" s="20" t="str">
        <f t="shared" si="1"/>
        <v>⛔ DISQUALIFIÉ</v>
      </c>
      <c r="N13" s="17" t="s">
        <v>36</v>
      </c>
      <c r="O13" s="21" t="s">
        <v>77</v>
      </c>
    </row>
    <row r="14" spans="1:15" ht="21.75" customHeight="1" x14ac:dyDescent="0.3">
      <c r="A14" s="3" t="s">
        <v>78</v>
      </c>
      <c r="B14" s="3"/>
      <c r="C14" s="3"/>
      <c r="D14" s="3"/>
      <c r="E14" s="3"/>
      <c r="F14" s="3"/>
      <c r="G14" s="22">
        <f t="shared" ref="G14:L14" si="2">IFERROR(AVERAGE(G4:G13),"")</f>
        <v>3.2</v>
      </c>
      <c r="H14" s="22">
        <f t="shared" si="2"/>
        <v>3.5</v>
      </c>
      <c r="I14" s="22">
        <f t="shared" si="2"/>
        <v>3.4</v>
      </c>
      <c r="J14" s="22">
        <f t="shared" si="2"/>
        <v>3.8</v>
      </c>
      <c r="K14" s="22">
        <f t="shared" si="2"/>
        <v>3.5</v>
      </c>
      <c r="L14" s="22">
        <f t="shared" si="2"/>
        <v>3.4800000000000004</v>
      </c>
      <c r="M14" s="2" t="str">
        <f>COUNTIF(M4:M13,"*QUALIFIÉ*")&amp;" qualifiés  |  "&amp;COUNTIF(M4:M13,"*PROGRÈS*")&amp;" plans de progrès  |  "&amp;COUNTIF(M4:M13,"*DISQUAL*")&amp;" disqualifiés"</f>
        <v>8 qualifiés  |  2 plans de progrès  |  2 disqualifiés</v>
      </c>
      <c r="N14" s="2"/>
      <c r="O14" s="2"/>
    </row>
    <row r="16" spans="1:15" ht="15.75" customHeight="1" x14ac:dyDescent="0.3">
      <c r="A16" s="1" t="s">
        <v>79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</sheetData>
  <mergeCells count="8">
    <mergeCell ref="A14:F14"/>
    <mergeCell ref="M14:O14"/>
    <mergeCell ref="A16:O16"/>
    <mergeCell ref="A1:O1"/>
    <mergeCell ref="A2:F2"/>
    <mergeCell ref="G2:K2"/>
    <mergeCell ref="L2:M2"/>
    <mergeCell ref="N2:O2"/>
  </mergeCells>
  <conditionalFormatting sqref="G4:K13">
    <cfRule type="colorScale" priority="2">
      <colorScale>
        <cfvo type="num" val="1"/>
        <cfvo type="num" val="3"/>
        <cfvo type="num" val="5"/>
        <color rgb="FFC0392B"/>
        <color rgb="FFF39C12"/>
        <color rgb="FF27AE60"/>
      </colorScale>
    </cfRule>
  </conditionalFormatting>
  <conditionalFormatting sqref="L4:L13">
    <cfRule type="colorScale" priority="3">
      <colorScale>
        <cfvo type="num" val="1"/>
        <cfvo type="num" val="3"/>
        <cfvo type="num" val="5"/>
        <color rgb="FFC0392B"/>
        <color rgb="FFF39C12"/>
        <color rgb="FF27AE60"/>
      </colorScale>
    </cfRule>
  </conditionalFormatting>
  <conditionalFormatting sqref="M4:M13">
    <cfRule type="containsText" dxfId="2" priority="4" operator="containsText" text="DISQUALIFIÉ">
      <formula>NOT(ISERROR(SEARCH("DISQUALIFIÉ",M4)))</formula>
    </cfRule>
    <cfRule type="containsText" dxfId="1" priority="5" operator="containsText" text="PROGRÈS">
      <formula>NOT(ISERROR(SEARCH("PROGRÈS",M4)))</formula>
    </cfRule>
    <cfRule type="containsText" dxfId="0" priority="6" operator="containsText" text="QUALIFIÉ">
      <formula>NOT(ISERROR(SEARCH("QUALIFIÉ",M4)))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IDENTITÉ</vt:lpstr>
      <vt:lpstr>REGISTRE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emna marzouki</cp:lastModifiedBy>
  <cp:revision>0</cp:revision>
  <dcterms:created xsi:type="dcterms:W3CDTF">2026-06-06T17:21:35Z</dcterms:created>
  <dcterms:modified xsi:type="dcterms:W3CDTF">2026-06-06T18:11:10Z</dcterms:modified>
  <dc:language>en-US</dc:language>
</cp:coreProperties>
</file>