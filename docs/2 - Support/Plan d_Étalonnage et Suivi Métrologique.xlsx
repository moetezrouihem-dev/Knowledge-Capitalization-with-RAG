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Emna\OneDrive\Bureau\iso\clause 7\"/>
    </mc:Choice>
  </mc:AlternateContent>
  <xr:revisionPtr revIDLastSave="0" documentId="13_ncr:1_{FC984267-7A6E-4FB3-BB54-5C80085389D8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IDENTITÉ" sheetId="1" r:id="rId1"/>
    <sheet name="REGISTRE" sheetId="2" r:id="rId2"/>
  </sheets>
  <definedNames>
    <definedName name="_xlnm._FilterDatabase" localSheetId="1" hidden="1">REGISTRE!$A$3:$M$13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0" i="2" l="1"/>
  <c r="F19" i="2"/>
  <c r="F18" i="2"/>
  <c r="F17" i="2"/>
  <c r="F16" i="2"/>
  <c r="F13" i="2"/>
  <c r="F12" i="2"/>
  <c r="F11" i="2"/>
  <c r="F10" i="2"/>
  <c r="F9" i="2"/>
  <c r="F8" i="2"/>
  <c r="F7" i="2"/>
  <c r="F6" i="2"/>
  <c r="F5" i="2"/>
  <c r="F4" i="2"/>
</calcChain>
</file>

<file path=xl/sharedStrings.xml><?xml version="1.0" encoding="utf-8"?>
<sst xmlns="http://schemas.openxmlformats.org/spreadsheetml/2006/main" count="178" uniqueCount="137">
  <si>
    <t>SFM Technologies  ·  SYSTÈME DE MANAGEMENT DE LA QUALITÉ</t>
  </si>
  <si>
    <t>Référence : FOR-PR1-13</t>
  </si>
  <si>
    <t>Version : V01</t>
  </si>
  <si>
    <t>Date : Juin 2026</t>
  </si>
  <si>
    <t>Plan d'Étalonnage et Suivi Métrologique — §7.1.5.2</t>
  </si>
  <si>
    <t>Processus lié</t>
  </si>
  <si>
    <t>PR1 — Réalisation des Prestations Telco (BU Telco)</t>
  </si>
  <si>
    <t>Procédure liée</t>
  </si>
  <si>
    <t>PROC-PS3-02 — §7.1.3 / §7.1.5.2</t>
  </si>
  <si>
    <t>Objectif</t>
  </si>
  <si>
    <t>Planifier et tracer les opérations d'étalonnage des EMM — Fiabilité métrologique QoS/QoE garantie.</t>
  </si>
  <si>
    <t>Pilote / Rempli par</t>
  </si>
  <si>
    <t>Conservation</t>
  </si>
  <si>
    <t>CADRE DE VALIDATION</t>
  </si>
  <si>
    <t>Acteur</t>
  </si>
  <si>
    <t>Rôle</t>
  </si>
  <si>
    <t>Signature</t>
  </si>
  <si>
    <t>Date</t>
  </si>
  <si>
    <t>Rédigé par</t>
  </si>
  <si>
    <t>_______________</t>
  </si>
  <si>
    <t>___/___/______</t>
  </si>
  <si>
    <t>Vérifié par</t>
  </si>
  <si>
    <t>Approuvé par</t>
  </si>
  <si>
    <t>📁  Archivage : COSAP — Zone archive sécurisée / Classeur physique BU Telco</t>
  </si>
  <si>
    <t>📐  PLAN D'ÉTALONNAGE &amp; SUIVI MÉTROLOGIQUE — BU Telco / 5G NR / QoS·QoE  [ISO/IEC 17025]</t>
  </si>
  <si>
    <t>Légende : ✅ Conforme | ❌ Non conforme | ⏳ En attente | 🔴 URGENT | 🟠 À planifier | 🟡 Surveillance | Organisme : TUNAC / ISO IEC 17025</t>
  </si>
  <si>
    <t>Réf. EMM</t>
  </si>
  <si>
    <t>Désignation équipement</t>
  </si>
  <si>
    <t>N° de série</t>
  </si>
  <si>
    <t>Dernier étalonnage</t>
  </si>
  <si>
    <t>Prochain étalonnage</t>
  </si>
  <si>
    <t>Jours restants</t>
  </si>
  <si>
    <t>Périodicité</t>
  </si>
  <si>
    <t>Organisme / Laboratoire</t>
  </si>
  <si>
    <t>Décision métrologique</t>
  </si>
  <si>
    <t>N° certificat</t>
  </si>
  <si>
    <t>Statut alerte</t>
  </si>
  <si>
    <t>NC / Action corrective</t>
  </si>
  <si>
    <t>Observations</t>
  </si>
  <si>
    <t>EMM-01</t>
  </si>
  <si>
    <t>Sonde QoS/QoE Drive Test (TEMS 18.x)</t>
  </si>
  <si>
    <t>SN-000TMS001</t>
  </si>
  <si>
    <t>01/03/2026</t>
  </si>
  <si>
    <t>01/09/2026</t>
  </si>
  <si>
    <t>Trimestrielle</t>
  </si>
  <si>
    <t>LNME Tunis — TUNAC</t>
  </si>
  <si>
    <t>✅ Conforme</t>
  </si>
  <si>
    <t>CERT-2026-001</t>
  </si>
  <si>
    <t>🟢 OK</t>
  </si>
  <si>
    <t>Aucune</t>
  </si>
  <si>
    <t>RAS — mars 2026</t>
  </si>
  <si>
    <t>EMM-02</t>
  </si>
  <si>
    <t>Terminal Android benchmark QoE (5G NR)</t>
  </si>
  <si>
    <t>SN-000SAM002</t>
  </si>
  <si>
    <t>CERT-2026-002</t>
  </si>
  <si>
    <t>RAS</t>
  </si>
  <si>
    <t>EMM-03</t>
  </si>
  <si>
    <t>Terminal iPhone test QoE iOS</t>
  </si>
  <si>
    <t>SN-000APL003</t>
  </si>
  <si>
    <t>CERT-2026-003</t>
  </si>
  <si>
    <t>EMM-04</t>
  </si>
  <si>
    <t>Analyseur spectre RF — R&amp;S FSH8</t>
  </si>
  <si>
    <t>SN-000RS004</t>
  </si>
  <si>
    <t>01/10/2025</t>
  </si>
  <si>
    <t>01/06/2026</t>
  </si>
  <si>
    <t>Annuelle (URSS)</t>
  </si>
  <si>
    <t>R&amp;S Service Center / LNME</t>
  </si>
  <si>
    <t>⏳ En attente</t>
  </si>
  <si>
    <t>À émettre</t>
  </si>
  <si>
    <t>🔴 URGENT</t>
  </si>
  <si>
    <t>NC ouverte — Retrait terrain immédiat</t>
  </si>
  <si>
    <t>Retard — Action corrective requise</t>
  </si>
  <si>
    <t>EMM-05</t>
  </si>
  <si>
    <t>GPS GNSS précision Trimble R2</t>
  </si>
  <si>
    <t>SN-000TRM005</t>
  </si>
  <si>
    <t>01/12/2025</t>
  </si>
  <si>
    <t>01/12/2026</t>
  </si>
  <si>
    <t>Semestrielle</t>
  </si>
  <si>
    <t>Centre Métrologie TUNAC</t>
  </si>
  <si>
    <t>CERT-2025-005</t>
  </si>
  <si>
    <t>Certif valide déc. 2026</t>
  </si>
  <si>
    <t>EMM-06</t>
  </si>
  <si>
    <t>Antenne directionnelle Kathrein (passive)</t>
  </si>
  <si>
    <t>SN-000KAT006</t>
  </si>
  <si>
    <t>01/06/2025</t>
  </si>
  <si>
    <t>Annuelle</t>
  </si>
  <si>
    <t>Vérification interne — Hassan Sghir</t>
  </si>
  <si>
    <t>N/A — interne</t>
  </si>
  <si>
    <t>🟡 Surveillance</t>
  </si>
  <si>
    <t>Antenne passive — pas certif requis</t>
  </si>
  <si>
    <t>EMM-07</t>
  </si>
  <si>
    <t>Tablette Toughpad (TEMS Pocket logiciel)</t>
  </si>
  <si>
    <t>SN-000PAN007</t>
  </si>
  <si>
    <t>Vérif. logicielle interne + MAJ TEMS</t>
  </si>
  <si>
    <t>N/A — logiciel</t>
  </si>
  <si>
    <t>Version TEMS à jour</t>
  </si>
  <si>
    <t>EMM-08</t>
  </si>
  <si>
    <t>Station test 5G NR Keysight UXM E7515B</t>
  </si>
  <si>
    <t>SN-000KEY008</t>
  </si>
  <si>
    <t>01/11/2025</t>
  </si>
  <si>
    <t>01/05/2026</t>
  </si>
  <si>
    <t>Keysight Service Center</t>
  </si>
  <si>
    <t>CERT-2025-008</t>
  </si>
  <si>
    <t>🟠 À planifier</t>
  </si>
  <si>
    <t>Étalonnage à programmer — Contact Keysight</t>
  </si>
  <si>
    <t>Contact Keysight requis</t>
  </si>
  <si>
    <t>EMM-09</t>
  </si>
  <si>
    <t>Testeur OTDR fibre optique EXFO</t>
  </si>
  <si>
    <t>SN-000EXF009</t>
  </si>
  <si>
    <t>01/02/2026</t>
  </si>
  <si>
    <t>01/08/2026</t>
  </si>
  <si>
    <t>EXFO Partner / LNME Tunis</t>
  </si>
  <si>
    <t>CERT-2026-009</t>
  </si>
  <si>
    <t>RAS — Certif valide août 2026</t>
  </si>
  <si>
    <t>EMM-10</t>
  </si>
  <si>
    <t>Analyseur protocole LTE/5G NR Spirent</t>
  </si>
  <si>
    <t>SN-000SPI010</t>
  </si>
  <si>
    <t>Non effectué</t>
  </si>
  <si>
    <t>01/07/2026</t>
  </si>
  <si>
    <t>Spirent Service Lab</t>
  </si>
  <si>
    <t>⏳ À planifier</t>
  </si>
  <si>
    <t>1er étalonnage avant mise en service</t>
  </si>
  <si>
    <t>Nouvel équipement — juil. 2026</t>
  </si>
  <si>
    <t>📊  SYNTHÈSE MÉTROLOGIQUE AUTOMATIQUE</t>
  </si>
  <si>
    <t>Total EMM dans le plan</t>
  </si>
  <si>
    <t>Conformes ✅</t>
  </si>
  <si>
    <t>En attente / À planifier ⏳</t>
  </si>
  <si>
    <t>Alertes URGENTES 🔴</t>
  </si>
  <si>
    <t>Taux conformité métrologique</t>
  </si>
  <si>
    <t>Organisme principal</t>
  </si>
  <si>
    <t>LNME Tunis — TUNAC / ISO IEC 17025</t>
  </si>
  <si>
    <t>Prochaine revue complète</t>
  </si>
  <si>
    <t>Septembre 2026 — Revue trimestrielle</t>
  </si>
  <si>
    <t xml:space="preserve"> Expert Technique BU Telco</t>
  </si>
  <si>
    <t xml:space="preserve"> Pilote SMQ</t>
  </si>
  <si>
    <t xml:space="preserve"> DG</t>
  </si>
  <si>
    <t>5 ans minimum (ISO/IEC 17025) — Zone sécurisée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</si>
</sst>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b/>
      <sz val="10"/>
      <color rgb="FFFFFFFF"/>
      <name val="Arial"/>
      <family val="2"/>
    </font>
    <font>
      <b/>
      <sz val="11"/>
      <color rgb="FF1F3864"/>
      <name val="Arial"/>
      <family val="2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i/>
      <sz val="9"/>
      <color rgb="FF404040"/>
      <name val="Arial"/>
      <family val="2"/>
    </font>
    <font>
      <b/>
      <sz val="12"/>
      <color rgb="FFFFFFFF"/>
      <name val="Arial"/>
      <family val="2"/>
    </font>
    <font>
      <i/>
      <sz val="8"/>
      <color rgb="FF1F3864"/>
      <name val="Arial"/>
      <family val="2"/>
    </font>
    <font>
      <b/>
      <sz val="9"/>
      <color rgb="FF1F3864"/>
      <name val="Arial"/>
      <family val="2"/>
    </font>
    <font>
      <b/>
      <sz val="9"/>
      <color rgb="FF375623"/>
      <name val="Arial"/>
      <family val="2"/>
    </font>
    <font>
      <sz val="9"/>
      <color rgb="FF375623"/>
      <name val="Arial"/>
      <family val="2"/>
    </font>
    <font>
      <b/>
      <sz val="9"/>
      <color rgb="FF7030A0"/>
      <name val="Arial"/>
      <family val="2"/>
    </font>
    <font>
      <b/>
      <sz val="9"/>
      <color rgb="FFC00000"/>
      <name val="Arial"/>
      <family val="2"/>
    </font>
    <font>
      <sz val="9"/>
      <color rgb="FF7F6000"/>
      <name val="Arial"/>
      <family val="2"/>
    </font>
    <font>
      <b/>
      <sz val="9"/>
      <color rgb="FF833C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C9A227"/>
        <bgColor rgb="FF99CC00"/>
      </patternFill>
    </fill>
    <fill>
      <patternFill patternType="solid">
        <fgColor rgb="FFD6E4F0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FFFFFF"/>
        <bgColor rgb="FFF7FBFF"/>
      </patternFill>
    </fill>
    <fill>
      <patternFill patternType="solid">
        <fgColor rgb="FFF2F2F2"/>
        <bgColor rgb="FFF7FBFF"/>
      </patternFill>
    </fill>
    <fill>
      <patternFill patternType="solid">
        <fgColor rgb="FFF7FBFF"/>
        <bgColor rgb="FFFFFFFF"/>
      </patternFill>
    </fill>
    <fill>
      <patternFill patternType="solid">
        <fgColor rgb="FFE2EFDA"/>
        <bgColor rgb="FFF2F2F2"/>
      </patternFill>
    </fill>
    <fill>
      <patternFill patternType="solid">
        <fgColor rgb="FFEAD1F0"/>
        <bgColor rgb="FFFFD7D7"/>
      </patternFill>
    </fill>
    <fill>
      <patternFill patternType="solid">
        <fgColor rgb="FFFFD7D7"/>
        <bgColor rgb="FFFCE4D6"/>
      </patternFill>
    </fill>
    <fill>
      <patternFill patternType="solid">
        <fgColor rgb="FFFCE4D6"/>
        <bgColor rgb="FFFFD7D7"/>
      </patternFill>
    </fill>
  </fills>
  <borders count="3">
    <border>
      <left/>
      <right/>
      <top/>
      <bottom/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4" fillId="3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left" vertical="center" wrapText="1"/>
    </xf>
    <xf numFmtId="0" fontId="5" fillId="8" borderId="2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left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10" fillId="10" borderId="2" xfId="0" applyFont="1" applyFill="1" applyBorder="1" applyAlignment="1">
      <alignment horizontal="center" vertical="center" wrapText="1"/>
    </xf>
    <xf numFmtId="0" fontId="11" fillId="10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12" fillId="11" borderId="2" xfId="0" applyFont="1" applyFill="1" applyBorder="1" applyAlignment="1">
      <alignment horizontal="center" vertical="center" wrapText="1"/>
    </xf>
    <xf numFmtId="0" fontId="13" fillId="12" borderId="2" xfId="0" applyFont="1" applyFill="1" applyBorder="1" applyAlignment="1">
      <alignment horizontal="center" vertical="center" wrapText="1"/>
    </xf>
    <xf numFmtId="0" fontId="14" fillId="6" borderId="2" xfId="0" applyFont="1" applyFill="1" applyBorder="1" applyAlignment="1">
      <alignment horizontal="center" vertical="center" wrapText="1"/>
    </xf>
    <xf numFmtId="0" fontId="15" fillId="13" borderId="2" xfId="0" applyFont="1" applyFill="1" applyBorder="1" applyAlignment="1">
      <alignment horizontal="center" vertical="center" wrapText="1"/>
    </xf>
    <xf numFmtId="0" fontId="6" fillId="8" borderId="0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0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7" fillId="2" borderId="0" xfId="0" applyFont="1" applyFill="1" applyBorder="1" applyAlignment="1">
      <alignment horizontal="center" vertical="center" wrapText="1"/>
    </xf>
    <xf numFmtId="0" fontId="8" fillId="6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F7FBFF"/>
      <rgbColor rgb="FF808080"/>
      <rgbColor rgb="FF9999FF"/>
      <rgbColor rgb="FF7030A0"/>
      <rgbColor rgb="FFFFF2CC"/>
      <rgbColor rgb="FFD6E4F0"/>
      <rgbColor rgb="FF660066"/>
      <rgbColor rgb="FFFF8080"/>
      <rgbColor rgb="FF0066CC"/>
      <rgbColor rgb="FFEAD1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CE4D6"/>
      <rgbColor rgb="FF99CCFF"/>
      <rgbColor rgb="FFFF99CC"/>
      <rgbColor rgb="FFCC99FF"/>
      <rgbColor rgb="FFFFD7D7"/>
      <rgbColor rgb="FF2E75B6"/>
      <rgbColor rgb="FF33CCCC"/>
      <rgbColor rgb="FF99CC00"/>
      <rgbColor rgb="FFFFCC00"/>
      <rgbColor rgb="FFC9A227"/>
      <rgbColor rgb="FFFF6600"/>
      <rgbColor rgb="FF666699"/>
      <rgbColor rgb="FFA6A6A6"/>
      <rgbColor rgb="FF1F3864"/>
      <rgbColor rgb="FF339966"/>
      <rgbColor rgb="FF003300"/>
      <rgbColor rgb="FF375623"/>
      <rgbColor rgb="FF833C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showGridLines="0" zoomScaleNormal="100" workbookViewId="0">
      <selection activeCell="C9" sqref="C9:F9"/>
    </sheetView>
  </sheetViews>
  <sheetFormatPr baseColWidth="10" defaultColWidth="8.6640625" defaultRowHeight="14.4" x14ac:dyDescent="0.3"/>
  <cols>
    <col min="1" max="1" width="22" customWidth="1"/>
    <col min="2" max="2" width="30" customWidth="1"/>
    <col min="3" max="4" width="18" customWidth="1"/>
    <col min="5" max="6" width="16" customWidth="1"/>
  </cols>
  <sheetData>
    <row r="1" spans="1:6" ht="27.75" customHeight="1" x14ac:dyDescent="0.3">
      <c r="A1" s="20" t="s">
        <v>0</v>
      </c>
      <c r="B1" s="20"/>
      <c r="C1" s="20"/>
      <c r="D1" s="20"/>
      <c r="E1" s="20"/>
      <c r="F1" s="20"/>
    </row>
    <row r="2" spans="1:6" ht="18" customHeight="1" x14ac:dyDescent="0.3">
      <c r="A2" s="21" t="s">
        <v>1</v>
      </c>
      <c r="B2" s="21"/>
      <c r="C2" s="21" t="s">
        <v>2</v>
      </c>
      <c r="D2" s="21"/>
      <c r="E2" s="21" t="s">
        <v>3</v>
      </c>
      <c r="F2" s="21"/>
    </row>
    <row r="3" spans="1:6" ht="24" customHeight="1" x14ac:dyDescent="0.3">
      <c r="A3" s="22" t="s">
        <v>4</v>
      </c>
      <c r="B3" s="22"/>
      <c r="C3" s="22"/>
      <c r="D3" s="22"/>
      <c r="E3" s="22"/>
      <c r="F3" s="22"/>
    </row>
    <row r="5" spans="1:6" ht="15.75" customHeight="1" x14ac:dyDescent="0.3">
      <c r="A5" s="16" t="s">
        <v>5</v>
      </c>
      <c r="B5" s="16"/>
      <c r="C5" s="17" t="s">
        <v>6</v>
      </c>
      <c r="D5" s="17"/>
      <c r="E5" s="17"/>
      <c r="F5" s="17"/>
    </row>
    <row r="6" spans="1:6" ht="15.75" customHeight="1" x14ac:dyDescent="0.3">
      <c r="A6" s="16" t="s">
        <v>7</v>
      </c>
      <c r="B6" s="16"/>
      <c r="C6" s="17" t="s">
        <v>8</v>
      </c>
      <c r="D6" s="17"/>
      <c r="E6" s="17"/>
      <c r="F6" s="17"/>
    </row>
    <row r="7" spans="1:6" ht="27" customHeight="1" x14ac:dyDescent="0.3">
      <c r="A7" s="16" t="s">
        <v>9</v>
      </c>
      <c r="B7" s="16"/>
      <c r="C7" s="19" t="s">
        <v>10</v>
      </c>
      <c r="D7" s="19"/>
      <c r="E7" s="19"/>
      <c r="F7" s="19"/>
    </row>
    <row r="8" spans="1:6" ht="15.75" customHeight="1" x14ac:dyDescent="0.3">
      <c r="A8" s="16" t="s">
        <v>11</v>
      </c>
      <c r="B8" s="16"/>
      <c r="C8" s="17" t="s">
        <v>133</v>
      </c>
      <c r="D8" s="17"/>
      <c r="E8" s="17"/>
      <c r="F8" s="17"/>
    </row>
    <row r="9" spans="1:6" ht="15.75" customHeight="1" x14ac:dyDescent="0.3">
      <c r="A9" s="16" t="s">
        <v>12</v>
      </c>
      <c r="B9" s="16"/>
      <c r="C9" s="17" t="s">
        <v>136</v>
      </c>
      <c r="D9" s="17"/>
      <c r="E9" s="17"/>
      <c r="F9" s="17"/>
    </row>
    <row r="11" spans="1:6" ht="13.5" customHeight="1" x14ac:dyDescent="0.3">
      <c r="A11" s="18" t="s">
        <v>13</v>
      </c>
      <c r="B11" s="18"/>
      <c r="C11" s="18"/>
      <c r="D11" s="18"/>
      <c r="E11" s="18"/>
      <c r="F11" s="18"/>
    </row>
    <row r="12" spans="1:6" x14ac:dyDescent="0.3">
      <c r="A12" s="1" t="s">
        <v>14</v>
      </c>
      <c r="B12" s="1" t="s">
        <v>15</v>
      </c>
      <c r="C12" s="1" t="s">
        <v>16</v>
      </c>
      <c r="D12" s="1" t="s">
        <v>17</v>
      </c>
    </row>
    <row r="13" spans="1:6" ht="24.6" customHeight="1" x14ac:dyDescent="0.3">
      <c r="A13" s="2" t="s">
        <v>18</v>
      </c>
      <c r="B13" s="2" t="s">
        <v>133</v>
      </c>
      <c r="C13" s="2" t="s">
        <v>19</v>
      </c>
      <c r="D13" s="2" t="s">
        <v>20</v>
      </c>
    </row>
    <row r="14" spans="1:6" ht="15.75" customHeight="1" x14ac:dyDescent="0.3">
      <c r="A14" s="3" t="s">
        <v>21</v>
      </c>
      <c r="B14" s="3" t="s">
        <v>134</v>
      </c>
      <c r="C14" s="3" t="s">
        <v>19</v>
      </c>
      <c r="D14" s="3" t="s">
        <v>20</v>
      </c>
    </row>
    <row r="15" spans="1:6" ht="15.75" customHeight="1" x14ac:dyDescent="0.3">
      <c r="A15" s="2" t="s">
        <v>22</v>
      </c>
      <c r="B15" s="2" t="s">
        <v>135</v>
      </c>
      <c r="C15" s="2" t="s">
        <v>19</v>
      </c>
      <c r="D15" s="2" t="s">
        <v>20</v>
      </c>
    </row>
    <row r="17" spans="1:6" ht="15.75" customHeight="1" x14ac:dyDescent="0.3">
      <c r="A17" s="15" t="s">
        <v>23</v>
      </c>
      <c r="B17" s="15"/>
      <c r="C17" s="15"/>
      <c r="D17" s="15"/>
      <c r="E17" s="15"/>
      <c r="F17" s="15"/>
    </row>
  </sheetData>
  <mergeCells count="17">
    <mergeCell ref="A1:F1"/>
    <mergeCell ref="A2:B2"/>
    <mergeCell ref="C2:D2"/>
    <mergeCell ref="E2:F2"/>
    <mergeCell ref="A3:F3"/>
    <mergeCell ref="A5:B5"/>
    <mergeCell ref="C5:F5"/>
    <mergeCell ref="A6:B6"/>
    <mergeCell ref="C6:F6"/>
    <mergeCell ref="A7:B7"/>
    <mergeCell ref="C7:F7"/>
    <mergeCell ref="A17:F17"/>
    <mergeCell ref="A8:B8"/>
    <mergeCell ref="C8:F8"/>
    <mergeCell ref="A9:B9"/>
    <mergeCell ref="C9:F9"/>
    <mergeCell ref="A11:F1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2"/>
  <sheetViews>
    <sheetView showGridLines="0" tabSelected="1" zoomScaleNormal="100" workbookViewId="0">
      <pane ySplit="3" topLeftCell="A4" activePane="bottomLeft" state="frozen"/>
      <selection pane="bottomLeft" sqref="A1:XFD1048576"/>
    </sheetView>
  </sheetViews>
  <sheetFormatPr baseColWidth="10" defaultColWidth="8.6640625" defaultRowHeight="14.4" x14ac:dyDescent="0.3"/>
  <cols>
    <col min="1" max="1" width="9" customWidth="1"/>
    <col min="2" max="2" width="36" customWidth="1"/>
    <col min="3" max="5" width="16" customWidth="1"/>
    <col min="6" max="6" width="14" customWidth="1"/>
    <col min="7" max="7" width="16" customWidth="1"/>
    <col min="8" max="8" width="30" customWidth="1"/>
    <col min="9" max="10" width="18" customWidth="1"/>
    <col min="11" max="11" width="16" customWidth="1"/>
    <col min="12" max="12" width="34" customWidth="1"/>
    <col min="13" max="13" width="32" customWidth="1"/>
  </cols>
  <sheetData>
    <row r="1" spans="1:13" ht="25.5" customHeight="1" x14ac:dyDescent="0.3">
      <c r="A1" s="24" t="s">
        <v>24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3" ht="13.5" customHeight="1" x14ac:dyDescent="0.3">
      <c r="A2" s="25" t="s">
        <v>25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</row>
    <row r="3" spans="1:13" ht="30" customHeight="1" x14ac:dyDescent="0.3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4" t="s">
        <v>32</v>
      </c>
      <c r="H3" s="4" t="s">
        <v>33</v>
      </c>
      <c r="I3" s="4" t="s">
        <v>34</v>
      </c>
      <c r="J3" s="4" t="s">
        <v>35</v>
      </c>
      <c r="K3" s="4" t="s">
        <v>36</v>
      </c>
      <c r="L3" s="4" t="s">
        <v>37</v>
      </c>
      <c r="M3" s="4" t="s">
        <v>38</v>
      </c>
    </row>
    <row r="4" spans="1:13" ht="15.75" customHeight="1" x14ac:dyDescent="0.3">
      <c r="A4" s="5" t="s">
        <v>39</v>
      </c>
      <c r="B4" s="6" t="s">
        <v>40</v>
      </c>
      <c r="C4" s="5" t="s">
        <v>41</v>
      </c>
      <c r="D4" s="5" t="s">
        <v>42</v>
      </c>
      <c r="E4" s="5" t="s">
        <v>43</v>
      </c>
      <c r="F4" s="7">
        <f ca="1">IFERROR(DATEDIF(TODAY(),DATEVALUE(E4),"D"),"Calculer")</f>
        <v>87</v>
      </c>
      <c r="G4" s="5" t="s">
        <v>44</v>
      </c>
      <c r="H4" s="6" t="s">
        <v>45</v>
      </c>
      <c r="I4" s="8" t="s">
        <v>46</v>
      </c>
      <c r="J4" s="5" t="s">
        <v>47</v>
      </c>
      <c r="K4" s="9" t="s">
        <v>48</v>
      </c>
      <c r="L4" s="6" t="s">
        <v>49</v>
      </c>
      <c r="M4" s="6" t="s">
        <v>50</v>
      </c>
    </row>
    <row r="5" spans="1:13" ht="15.75" customHeight="1" x14ac:dyDescent="0.3">
      <c r="A5" s="10" t="s">
        <v>51</v>
      </c>
      <c r="B5" s="2" t="s">
        <v>52</v>
      </c>
      <c r="C5" s="10" t="s">
        <v>53</v>
      </c>
      <c r="D5" s="10" t="s">
        <v>42</v>
      </c>
      <c r="E5" s="10" t="s">
        <v>43</v>
      </c>
      <c r="F5" s="7">
        <f ca="1">IFERROR(DATEDIF(TODAY(),DATEVALUE(E5),"D"),"Calculer")</f>
        <v>87</v>
      </c>
      <c r="G5" s="10" t="s">
        <v>44</v>
      </c>
      <c r="H5" s="2" t="s">
        <v>45</v>
      </c>
      <c r="I5" s="8" t="s">
        <v>46</v>
      </c>
      <c r="J5" s="10" t="s">
        <v>54</v>
      </c>
      <c r="K5" s="9" t="s">
        <v>48</v>
      </c>
      <c r="L5" s="2" t="s">
        <v>49</v>
      </c>
      <c r="M5" s="2" t="s">
        <v>55</v>
      </c>
    </row>
    <row r="6" spans="1:13" ht="15.75" customHeight="1" x14ac:dyDescent="0.3">
      <c r="A6" s="5" t="s">
        <v>56</v>
      </c>
      <c r="B6" s="6" t="s">
        <v>57</v>
      </c>
      <c r="C6" s="5" t="s">
        <v>58</v>
      </c>
      <c r="D6" s="5" t="s">
        <v>42</v>
      </c>
      <c r="E6" s="5" t="s">
        <v>43</v>
      </c>
      <c r="F6" s="7">
        <f ca="1">IFERROR(DATEDIF(TODAY(),DATEVALUE(E6),"D"),"Calculer")</f>
        <v>87</v>
      </c>
      <c r="G6" s="5" t="s">
        <v>44</v>
      </c>
      <c r="H6" s="6" t="s">
        <v>45</v>
      </c>
      <c r="I6" s="8" t="s">
        <v>46</v>
      </c>
      <c r="J6" s="5" t="s">
        <v>59</v>
      </c>
      <c r="K6" s="9" t="s">
        <v>48</v>
      </c>
      <c r="L6" s="6" t="s">
        <v>49</v>
      </c>
      <c r="M6" s="6" t="s">
        <v>55</v>
      </c>
    </row>
    <row r="7" spans="1:13" ht="15.75" customHeight="1" x14ac:dyDescent="0.3">
      <c r="A7" s="10" t="s">
        <v>60</v>
      </c>
      <c r="B7" s="2" t="s">
        <v>61</v>
      </c>
      <c r="C7" s="10" t="s">
        <v>62</v>
      </c>
      <c r="D7" s="10" t="s">
        <v>63</v>
      </c>
      <c r="E7" s="10" t="s">
        <v>64</v>
      </c>
      <c r="F7" s="7" t="str">
        <f ca="1">IFERROR(DATEDIF(TODAY(),DATEVALUE(E7),"D"),"ÉCHU")</f>
        <v>ÉCHU</v>
      </c>
      <c r="G7" s="10" t="s">
        <v>65</v>
      </c>
      <c r="H7" s="2" t="s">
        <v>66</v>
      </c>
      <c r="I7" s="11" t="s">
        <v>67</v>
      </c>
      <c r="J7" s="10" t="s">
        <v>68</v>
      </c>
      <c r="K7" s="12" t="s">
        <v>69</v>
      </c>
      <c r="L7" s="2" t="s">
        <v>70</v>
      </c>
      <c r="M7" s="2" t="s">
        <v>71</v>
      </c>
    </row>
    <row r="8" spans="1:13" ht="15.75" customHeight="1" x14ac:dyDescent="0.3">
      <c r="A8" s="5" t="s">
        <v>72</v>
      </c>
      <c r="B8" s="6" t="s">
        <v>73</v>
      </c>
      <c r="C8" s="5" t="s">
        <v>74</v>
      </c>
      <c r="D8" s="5" t="s">
        <v>75</v>
      </c>
      <c r="E8" s="5" t="s">
        <v>76</v>
      </c>
      <c r="F8" s="7">
        <f ca="1">IFERROR(DATEDIF(TODAY(),DATEVALUE(E8),"D"),"Calculer")</f>
        <v>178</v>
      </c>
      <c r="G8" s="5" t="s">
        <v>77</v>
      </c>
      <c r="H8" s="6" t="s">
        <v>78</v>
      </c>
      <c r="I8" s="8" t="s">
        <v>46</v>
      </c>
      <c r="J8" s="5" t="s">
        <v>79</v>
      </c>
      <c r="K8" s="9" t="s">
        <v>48</v>
      </c>
      <c r="L8" s="6" t="s">
        <v>49</v>
      </c>
      <c r="M8" s="6" t="s">
        <v>80</v>
      </c>
    </row>
    <row r="9" spans="1:13" ht="15.75" customHeight="1" x14ac:dyDescent="0.3">
      <c r="A9" s="10" t="s">
        <v>81</v>
      </c>
      <c r="B9" s="2" t="s">
        <v>82</v>
      </c>
      <c r="C9" s="10" t="s">
        <v>83</v>
      </c>
      <c r="D9" s="10" t="s">
        <v>84</v>
      </c>
      <c r="E9" s="10" t="s">
        <v>64</v>
      </c>
      <c r="F9" s="7" t="str">
        <f ca="1">IFERROR(DATEDIF(TODAY(),DATEVALUE(E9),"D"),"ÉCHU")</f>
        <v>ÉCHU</v>
      </c>
      <c r="G9" s="10" t="s">
        <v>85</v>
      </c>
      <c r="H9" s="2" t="s">
        <v>86</v>
      </c>
      <c r="I9" s="8" t="s">
        <v>46</v>
      </c>
      <c r="J9" s="10" t="s">
        <v>87</v>
      </c>
      <c r="K9" s="13" t="s">
        <v>88</v>
      </c>
      <c r="L9" s="2" t="s">
        <v>49</v>
      </c>
      <c r="M9" s="2" t="s">
        <v>89</v>
      </c>
    </row>
    <row r="10" spans="1:13" ht="15.75" customHeight="1" x14ac:dyDescent="0.3">
      <c r="A10" s="5" t="s">
        <v>90</v>
      </c>
      <c r="B10" s="6" t="s">
        <v>91</v>
      </c>
      <c r="C10" s="5" t="s">
        <v>92</v>
      </c>
      <c r="D10" s="5" t="s">
        <v>42</v>
      </c>
      <c r="E10" s="5" t="s">
        <v>43</v>
      </c>
      <c r="F10" s="7">
        <f ca="1">IFERROR(DATEDIF(TODAY(),DATEVALUE(E10),"D"),"Calculer")</f>
        <v>87</v>
      </c>
      <c r="G10" s="5" t="s">
        <v>44</v>
      </c>
      <c r="H10" s="6" t="s">
        <v>93</v>
      </c>
      <c r="I10" s="8" t="s">
        <v>46</v>
      </c>
      <c r="J10" s="5" t="s">
        <v>94</v>
      </c>
      <c r="K10" s="13" t="s">
        <v>88</v>
      </c>
      <c r="L10" s="6" t="s">
        <v>49</v>
      </c>
      <c r="M10" s="6" t="s">
        <v>95</v>
      </c>
    </row>
    <row r="11" spans="1:13" ht="15.75" customHeight="1" x14ac:dyDescent="0.3">
      <c r="A11" s="10" t="s">
        <v>96</v>
      </c>
      <c r="B11" s="2" t="s">
        <v>97</v>
      </c>
      <c r="C11" s="10" t="s">
        <v>98</v>
      </c>
      <c r="D11" s="10" t="s">
        <v>99</v>
      </c>
      <c r="E11" s="10" t="s">
        <v>100</v>
      </c>
      <c r="F11" s="7" t="str">
        <f ca="1">IFERROR(DATEDIF(TODAY(),DATEVALUE(E11),"D"),"ÉCHU")</f>
        <v>ÉCHU</v>
      </c>
      <c r="G11" s="10" t="s">
        <v>77</v>
      </c>
      <c r="H11" s="2" t="s">
        <v>101</v>
      </c>
      <c r="I11" s="11" t="s">
        <v>67</v>
      </c>
      <c r="J11" s="10" t="s">
        <v>102</v>
      </c>
      <c r="K11" s="14" t="s">
        <v>103</v>
      </c>
      <c r="L11" s="2" t="s">
        <v>104</v>
      </c>
      <c r="M11" s="2" t="s">
        <v>105</v>
      </c>
    </row>
    <row r="12" spans="1:13" ht="15.75" customHeight="1" x14ac:dyDescent="0.3">
      <c r="A12" s="5" t="s">
        <v>106</v>
      </c>
      <c r="B12" s="6" t="s">
        <v>107</v>
      </c>
      <c r="C12" s="5" t="s">
        <v>108</v>
      </c>
      <c r="D12" s="5" t="s">
        <v>109</v>
      </c>
      <c r="E12" s="5" t="s">
        <v>110</v>
      </c>
      <c r="F12" s="7">
        <f ca="1">IFERROR(DATEDIF(TODAY(),DATEVALUE(E12),"D"),"Calculer")</f>
        <v>56</v>
      </c>
      <c r="G12" s="5" t="s">
        <v>77</v>
      </c>
      <c r="H12" s="6" t="s">
        <v>111</v>
      </c>
      <c r="I12" s="8" t="s">
        <v>46</v>
      </c>
      <c r="J12" s="5" t="s">
        <v>112</v>
      </c>
      <c r="K12" s="9" t="s">
        <v>48</v>
      </c>
      <c r="L12" s="6" t="s">
        <v>49</v>
      </c>
      <c r="M12" s="6" t="s">
        <v>113</v>
      </c>
    </row>
    <row r="13" spans="1:13" ht="15.75" customHeight="1" x14ac:dyDescent="0.3">
      <c r="A13" s="10" t="s">
        <v>114</v>
      </c>
      <c r="B13" s="2" t="s">
        <v>115</v>
      </c>
      <c r="C13" s="10" t="s">
        <v>116</v>
      </c>
      <c r="D13" s="10" t="s">
        <v>117</v>
      </c>
      <c r="E13" s="10" t="s">
        <v>118</v>
      </c>
      <c r="F13" s="7">
        <f ca="1">IFERROR(DATEDIF(TODAY(),DATEVALUE(E13),"D"),"N/A")</f>
        <v>25</v>
      </c>
      <c r="G13" s="10" t="s">
        <v>85</v>
      </c>
      <c r="H13" s="2" t="s">
        <v>119</v>
      </c>
      <c r="I13" s="11" t="s">
        <v>120</v>
      </c>
      <c r="J13" s="10" t="s">
        <v>68</v>
      </c>
      <c r="K13" s="14" t="s">
        <v>103</v>
      </c>
      <c r="L13" s="2" t="s">
        <v>121</v>
      </c>
      <c r="M13" s="2" t="s">
        <v>122</v>
      </c>
    </row>
    <row r="15" spans="1:13" ht="19.5" customHeight="1" x14ac:dyDescent="0.3">
      <c r="A15" s="18" t="s">
        <v>123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</row>
    <row r="16" spans="1:13" ht="15.75" customHeight="1" x14ac:dyDescent="0.3">
      <c r="A16" s="23" t="s">
        <v>124</v>
      </c>
      <c r="B16" s="23"/>
      <c r="C16" s="23"/>
      <c r="D16" s="23"/>
      <c r="E16" s="23"/>
      <c r="F16" s="19">
        <f>COUNTA(A4:A13)</f>
        <v>10</v>
      </c>
      <c r="G16" s="19"/>
      <c r="H16" s="19"/>
      <c r="I16" s="19"/>
      <c r="J16" s="19"/>
      <c r="K16" s="19"/>
      <c r="L16" s="19"/>
      <c r="M16" s="19"/>
    </row>
    <row r="17" spans="1:13" ht="15.75" customHeight="1" x14ac:dyDescent="0.3">
      <c r="A17" s="23" t="s">
        <v>125</v>
      </c>
      <c r="B17" s="23"/>
      <c r="C17" s="23"/>
      <c r="D17" s="23"/>
      <c r="E17" s="23"/>
      <c r="F17" s="19">
        <f>COUNTIF(I4:I13,"*Conforme*")</f>
        <v>7</v>
      </c>
      <c r="G17" s="19"/>
      <c r="H17" s="19"/>
      <c r="I17" s="19"/>
      <c r="J17" s="19"/>
      <c r="K17" s="19"/>
      <c r="L17" s="19"/>
      <c r="M17" s="19"/>
    </row>
    <row r="18" spans="1:13" ht="15.75" customHeight="1" x14ac:dyDescent="0.3">
      <c r="A18" s="23" t="s">
        <v>126</v>
      </c>
      <c r="B18" s="23"/>
      <c r="C18" s="23"/>
      <c r="D18" s="23"/>
      <c r="E18" s="23"/>
      <c r="F18" s="19">
        <f>COUNTIF(I4:I13,"*attente*")+COUNTIF(I4:I13,"*planifier*")</f>
        <v>3</v>
      </c>
      <c r="G18" s="19"/>
      <c r="H18" s="19"/>
      <c r="I18" s="19"/>
      <c r="J18" s="19"/>
      <c r="K18" s="19"/>
      <c r="L18" s="19"/>
      <c r="M18" s="19"/>
    </row>
    <row r="19" spans="1:13" ht="15.75" customHeight="1" x14ac:dyDescent="0.3">
      <c r="A19" s="23" t="s">
        <v>127</v>
      </c>
      <c r="B19" s="23"/>
      <c r="C19" s="23"/>
      <c r="D19" s="23"/>
      <c r="E19" s="23"/>
      <c r="F19" s="19">
        <f>COUNTIF(K4:K13,"*URGENT*")</f>
        <v>1</v>
      </c>
      <c r="G19" s="19"/>
      <c r="H19" s="19"/>
      <c r="I19" s="19"/>
      <c r="J19" s="19"/>
      <c r="K19" s="19"/>
      <c r="L19" s="19"/>
      <c r="M19" s="19"/>
    </row>
    <row r="20" spans="1:13" ht="15.75" customHeight="1" x14ac:dyDescent="0.3">
      <c r="A20" s="23" t="s">
        <v>128</v>
      </c>
      <c r="B20" s="23"/>
      <c r="C20" s="23"/>
      <c r="D20" s="23"/>
      <c r="E20" s="23"/>
      <c r="F20" s="19" t="str">
        <f>ROUND(COUNTIF(I4:I13,"*Conforme*")/COUNTA(A4:A13)*100,1)&amp;"%"</f>
        <v>70%</v>
      </c>
      <c r="G20" s="19"/>
      <c r="H20" s="19"/>
      <c r="I20" s="19"/>
      <c r="J20" s="19"/>
      <c r="K20" s="19"/>
      <c r="L20" s="19"/>
      <c r="M20" s="19"/>
    </row>
    <row r="21" spans="1:13" ht="15.75" customHeight="1" x14ac:dyDescent="0.3">
      <c r="A21" s="23" t="s">
        <v>129</v>
      </c>
      <c r="B21" s="23"/>
      <c r="C21" s="23"/>
      <c r="D21" s="23"/>
      <c r="E21" s="23"/>
      <c r="F21" s="19" t="s">
        <v>130</v>
      </c>
      <c r="G21" s="19"/>
      <c r="H21" s="19"/>
      <c r="I21" s="19"/>
      <c r="J21" s="19"/>
      <c r="K21" s="19"/>
      <c r="L21" s="19"/>
      <c r="M21" s="19"/>
    </row>
    <row r="22" spans="1:13" ht="15.75" customHeight="1" x14ac:dyDescent="0.3">
      <c r="A22" s="23" t="s">
        <v>131</v>
      </c>
      <c r="B22" s="23"/>
      <c r="C22" s="23"/>
      <c r="D22" s="23"/>
      <c r="E22" s="23"/>
      <c r="F22" s="19" t="s">
        <v>132</v>
      </c>
      <c r="G22" s="19"/>
      <c r="H22" s="19"/>
      <c r="I22" s="19"/>
      <c r="J22" s="19"/>
      <c r="K22" s="19"/>
      <c r="L22" s="19"/>
      <c r="M22" s="19"/>
    </row>
  </sheetData>
  <autoFilter ref="A3:M13" xr:uid="{00000000-0009-0000-0000-000001000000}"/>
  <mergeCells count="17">
    <mergeCell ref="A1:M1"/>
    <mergeCell ref="A2:M2"/>
    <mergeCell ref="A15:M15"/>
    <mergeCell ref="A16:E16"/>
    <mergeCell ref="F16:M16"/>
    <mergeCell ref="A17:E17"/>
    <mergeCell ref="F17:M17"/>
    <mergeCell ref="A18:E18"/>
    <mergeCell ref="F18:M18"/>
    <mergeCell ref="A19:E19"/>
    <mergeCell ref="F19:M19"/>
    <mergeCell ref="A20:E20"/>
    <mergeCell ref="F20:M20"/>
    <mergeCell ref="A21:E21"/>
    <mergeCell ref="F21:M21"/>
    <mergeCell ref="A22:E22"/>
    <mergeCell ref="F22:M2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IDENTITÉ</vt:lpstr>
      <vt:lpstr>REGISTRE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emna marzouki</cp:lastModifiedBy>
  <cp:revision>0</cp:revision>
  <dcterms:created xsi:type="dcterms:W3CDTF">2026-06-06T15:53:57Z</dcterms:created>
  <dcterms:modified xsi:type="dcterms:W3CDTF">2026-06-06T16:16:41Z</dcterms:modified>
  <dc:language>en-US</dc:language>
</cp:coreProperties>
</file>