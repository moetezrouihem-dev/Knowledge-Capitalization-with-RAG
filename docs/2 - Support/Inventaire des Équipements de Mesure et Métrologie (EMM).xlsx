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OneDrive\Bureau\iso\clause 7\"/>
    </mc:Choice>
  </mc:AlternateContent>
  <xr:revisionPtr revIDLastSave="0" documentId="13_ncr:1_{E271CC18-5A19-44F0-AB02-74B97B14190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DENTITÉ" sheetId="1" r:id="rId1"/>
    <sheet name="REGISTRE" sheetId="2" r:id="rId2"/>
  </sheets>
  <definedNames>
    <definedName name="_xlnm._FilterDatabase" localSheetId="1" hidden="1">REGISTRE!$A$3:$L$13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2" l="1"/>
  <c r="E19" i="2"/>
  <c r="E18" i="2"/>
  <c r="E17" i="2"/>
  <c r="E16" i="2"/>
</calcChain>
</file>

<file path=xl/sharedStrings.xml><?xml version="1.0" encoding="utf-8"?>
<sst xmlns="http://schemas.openxmlformats.org/spreadsheetml/2006/main" count="165" uniqueCount="128">
  <si>
    <t>SFM Technologies  ·  SYSTÈME DE MANAGEMENT DE LA QUALITÉ</t>
  </si>
  <si>
    <t>Référence : FOR-PR1-12</t>
  </si>
  <si>
    <t>Version : V01</t>
  </si>
  <si>
    <t>Date : Juin 2026</t>
  </si>
  <si>
    <t>Inventaire des Équipements de Mesure et Métrologie (EMM) — §7.1.5</t>
  </si>
  <si>
    <t>Processus lié</t>
  </si>
  <si>
    <t>PR1 — Réalisation des Prestations Telco (BU Telco)</t>
  </si>
  <si>
    <t>Procédure liée</t>
  </si>
  <si>
    <t>PROC-PS3-02 — Gestion des Infrastructures et Maintenance IT</t>
  </si>
  <si>
    <t>Objectif</t>
  </si>
  <si>
    <t>Recenser et suivre l'état des équipements physiques utilisés pour les audits QoS/QoE terrain.</t>
  </si>
  <si>
    <t>Pilote / Rempli par</t>
  </si>
  <si>
    <t>Conservation</t>
  </si>
  <si>
    <t>CADRE DE VALIDATION</t>
  </si>
  <si>
    <t>Acteur</t>
  </si>
  <si>
    <t>Rôle</t>
  </si>
  <si>
    <t>Signature</t>
  </si>
  <si>
    <t>Date</t>
  </si>
  <si>
    <t>Rédigé par</t>
  </si>
  <si>
    <t>_______________</t>
  </si>
  <si>
    <t>___/___/______</t>
  </si>
  <si>
    <t>Vérifié par</t>
  </si>
  <si>
    <t>Approuvé par</t>
  </si>
  <si>
    <t>📁  Archivage : COSAP — Zone archive sécurisée / Classeur physique BU Telco</t>
  </si>
  <si>
    <t>🔧  INVENTAIRE EMM — BU Telco / 5G NR | Audits QoS·QoE</t>
  </si>
  <si>
    <t>Légende : ✅ Opérationnel | ⚠️ À réviser/planifier | ❌ Hors service | 🔴 Action urgente &lt;30j | Lien → FOR-PR1-13</t>
  </si>
  <si>
    <t>Réf. EMM</t>
  </si>
  <si>
    <t>Désignation équipement</t>
  </si>
  <si>
    <t>Marque / Modèle</t>
  </si>
  <si>
    <t>N° de série</t>
  </si>
  <si>
    <t>Date d'achat</t>
  </si>
  <si>
    <t>Âge approx. (ans)</t>
  </si>
  <si>
    <t>État fonctionnement</t>
  </si>
  <si>
    <t>Localisation</t>
  </si>
  <si>
    <t>Propriétaire</t>
  </si>
  <si>
    <t>Lien Étalonnage</t>
  </si>
  <si>
    <t>Classe critique</t>
  </si>
  <si>
    <t>Action requise</t>
  </si>
  <si>
    <t>EMM-01</t>
  </si>
  <si>
    <t>Sonde QoS/QoE Drive Test</t>
  </si>
  <si>
    <t>TEMS Investigation 18.x</t>
  </si>
  <si>
    <t>SN-000TMS001</t>
  </si>
  <si>
    <t>01/03/2023</t>
  </si>
  <si>
    <t>✅ Opérationnel</t>
  </si>
  <si>
    <t>Siège SFM — BU Telco</t>
  </si>
  <si>
    <t>Hassan Sghir</t>
  </si>
  <si>
    <t>ETA-01 ✅</t>
  </si>
  <si>
    <t>🟢 Standard</t>
  </si>
  <si>
    <t>RAS — Étalonnage à jour</t>
  </si>
  <si>
    <t>EMM-02</t>
  </si>
  <si>
    <t>Terminal Android benchmark QoE</t>
  </si>
  <si>
    <t>Samsung Galaxy / Snapdragon</t>
  </si>
  <si>
    <t>SN-000SAM002</t>
  </si>
  <si>
    <t>15/06/2023</t>
  </si>
  <si>
    <t>Ali Tabbabi</t>
  </si>
  <si>
    <t>ETA-02 ✅</t>
  </si>
  <si>
    <t>EMM-03</t>
  </si>
  <si>
    <t>Terminal iPhone test QoE iOS</t>
  </si>
  <si>
    <t>Apple iPhone 14 Pro</t>
  </si>
  <si>
    <t>SN-000APL003</t>
  </si>
  <si>
    <t>EMM-04</t>
  </si>
  <si>
    <t>Analyseur de spectre portable RF</t>
  </si>
  <si>
    <t>Rohde &amp; Schwarz FSH8</t>
  </si>
  <si>
    <t>SN-000RS004</t>
  </si>
  <si>
    <t>10/01/2022</t>
  </si>
  <si>
    <t>⚠️ À réviser</t>
  </si>
  <si>
    <t>ETA-03 ⏳ URGENT</t>
  </si>
  <si>
    <t>🔴 URGENT</t>
  </si>
  <si>
    <t>Planifier étalonnage &lt;30j — Retrait terrain</t>
  </si>
  <si>
    <t>EMM-05</t>
  </si>
  <si>
    <t>GPS de précision GNSS</t>
  </si>
  <si>
    <t>Trimble R2 GNSS</t>
  </si>
  <si>
    <t>SN-000TRM005</t>
  </si>
  <si>
    <t>20/09/2022</t>
  </si>
  <si>
    <t>Fedi Bouricha</t>
  </si>
  <si>
    <t>ETA-04 ✅</t>
  </si>
  <si>
    <t>RAS — Certif valide déc. 2026</t>
  </si>
  <si>
    <t>EMM-06</t>
  </si>
  <si>
    <t>Antenne directionnelle Yagi</t>
  </si>
  <si>
    <t>Kathrein 800 10285</t>
  </si>
  <si>
    <t>SN-000KAT006</t>
  </si>
  <si>
    <t>Houcem Ben Romdhane</t>
  </si>
  <si>
    <t>N/A — Passif</t>
  </si>
  <si>
    <t>🟡 Surveillance</t>
  </si>
  <si>
    <t>Vérification interne annuelle OK</t>
  </si>
  <si>
    <t>EMM-07</t>
  </si>
  <si>
    <t>Tablette terrain TEMS Pocket</t>
  </si>
  <si>
    <t>Panasonic Toughpad FZ-A3</t>
  </si>
  <si>
    <t>SN-000PAN007</t>
  </si>
  <si>
    <t>01/06/2023</t>
  </si>
  <si>
    <t>N/A — Logiciel</t>
  </si>
  <si>
    <t>Version TEMS à jour</t>
  </si>
  <si>
    <t>EMM-08</t>
  </si>
  <si>
    <t>Station test 5G NR</t>
  </si>
  <si>
    <t>Keysight UXM 5G E7515B</t>
  </si>
  <si>
    <t>SN-000KEY008</t>
  </si>
  <si>
    <t>15/11/2023</t>
  </si>
  <si>
    <t>ETA-05 ⏳</t>
  </si>
  <si>
    <t>🟠 À planifier</t>
  </si>
  <si>
    <t>Contact Keysight — étalonnage à programmer</t>
  </si>
  <si>
    <t>EMM-09</t>
  </si>
  <si>
    <t>Testeur OTDR fibre optique</t>
  </si>
  <si>
    <t>EXFO MaxTester 715B</t>
  </si>
  <si>
    <t>SN-000EXF009</t>
  </si>
  <si>
    <t>05/02/2024</t>
  </si>
  <si>
    <t>ETA-06 ✅</t>
  </si>
  <si>
    <t>RAS — Certif valide août 2026</t>
  </si>
  <si>
    <t>EMM-10</t>
  </si>
  <si>
    <t>Analyseur protocole LTE/5G NR</t>
  </si>
  <si>
    <t>Spirent Vertex Testbed</t>
  </si>
  <si>
    <t>SN-000SPI010</t>
  </si>
  <si>
    <t>⚠️ À planifier</t>
  </si>
  <si>
    <t>Aya Mellekh</t>
  </si>
  <si>
    <t>ETA-07 ⏳</t>
  </si>
  <si>
    <t>1er étalonnage avant mise en service juil. 2026</t>
  </si>
  <si>
    <t>📊  SYNTHÈSE AUTOMATIQUE</t>
  </si>
  <si>
    <t>Total EMM recensés</t>
  </si>
  <si>
    <t>Opérationnels ✅</t>
  </si>
  <si>
    <t>À réviser / À planifier ⚠️</t>
  </si>
  <si>
    <t>Actions URGENTES 🔴</t>
  </si>
  <si>
    <t>Taux conformité</t>
  </si>
  <si>
    <t>Prochaine revue</t>
  </si>
  <si>
    <t>Septembre 2026</t>
  </si>
  <si>
    <t>Resp  IT, Cloud &amp; Réseaux</t>
  </si>
  <si>
    <t xml:space="preserve"> Pilote SMQ / PMO-Qualité</t>
  </si>
  <si>
    <t xml:space="preserve"> DG</t>
  </si>
  <si>
    <t>5 ans —  Zone archive sécurisée</t>
  </si>
  <si>
    <t xml:space="preserve"> Expert Technique BU Telco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</si>
</sst>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404040"/>
      <name val="Arial"/>
      <family val="2"/>
    </font>
    <font>
      <b/>
      <sz val="12"/>
      <color rgb="FFFFFFFF"/>
      <name val="Arial"/>
      <family val="2"/>
    </font>
    <font>
      <i/>
      <sz val="8"/>
      <color rgb="FF1F3864"/>
      <name val="Arial"/>
      <family val="2"/>
    </font>
    <font>
      <b/>
      <sz val="9"/>
      <color rgb="FF375623"/>
      <name val="Arial"/>
      <family val="2"/>
    </font>
    <font>
      <sz val="9"/>
      <color rgb="FF375623"/>
      <name val="Arial"/>
      <family val="2"/>
    </font>
    <font>
      <b/>
      <sz val="9"/>
      <color rgb="FF833C00"/>
      <name val="Arial"/>
      <family val="2"/>
    </font>
    <font>
      <b/>
      <sz val="9"/>
      <color rgb="FFC00000"/>
      <name val="Arial"/>
      <family val="2"/>
    </font>
    <font>
      <sz val="9"/>
      <color rgb="FF7F6000"/>
      <name val="Arial"/>
      <family val="2"/>
    </font>
    <font>
      <b/>
      <sz val="9"/>
      <color rgb="FF1F38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9A227"/>
        <bgColor rgb="FF99CC00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D7D7"/>
      </patternFill>
    </fill>
    <fill>
      <patternFill patternType="solid">
        <fgColor rgb="FFFFD7D7"/>
        <bgColor rgb="FFFCE4D6"/>
      </patternFill>
    </fill>
  </fills>
  <borders count="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5" borderId="1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EFDA"/>
      <rgbColor rgb="FFFCE4D6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C9A227"/>
      <rgbColor rgb="FFFF6600"/>
      <rgbColor rgb="FF666699"/>
      <rgbColor rgb="FFA6A6A6"/>
      <rgbColor rgb="FF1F3864"/>
      <rgbColor rgb="FF339966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zoomScaleNormal="100" workbookViewId="0">
      <selection activeCell="C8" sqref="C8:F8"/>
    </sheetView>
  </sheetViews>
  <sheetFormatPr baseColWidth="10" defaultColWidth="8.6640625" defaultRowHeight="14.4" x14ac:dyDescent="0.3"/>
  <cols>
    <col min="1" max="1" width="22" customWidth="1"/>
    <col min="2" max="2" width="30" customWidth="1"/>
    <col min="3" max="4" width="18" customWidth="1"/>
    <col min="5" max="6" width="16" customWidth="1"/>
  </cols>
  <sheetData>
    <row r="1" spans="1:6" ht="27.75" customHeight="1" x14ac:dyDescent="0.3">
      <c r="A1" s="11" t="s">
        <v>0</v>
      </c>
      <c r="B1" s="11"/>
      <c r="C1" s="11"/>
      <c r="D1" s="11"/>
      <c r="E1" s="11"/>
      <c r="F1" s="11"/>
    </row>
    <row r="2" spans="1:6" ht="18" customHeight="1" x14ac:dyDescent="0.3">
      <c r="A2" s="10" t="s">
        <v>1</v>
      </c>
      <c r="B2" s="10"/>
      <c r="C2" s="10" t="s">
        <v>2</v>
      </c>
      <c r="D2" s="10"/>
      <c r="E2" s="10" t="s">
        <v>3</v>
      </c>
      <c r="F2" s="10"/>
    </row>
    <row r="3" spans="1:6" ht="24" customHeight="1" x14ac:dyDescent="0.3">
      <c r="A3" s="9" t="s">
        <v>4</v>
      </c>
      <c r="B3" s="9"/>
      <c r="C3" s="9"/>
      <c r="D3" s="9"/>
      <c r="E3" s="9"/>
      <c r="F3" s="9"/>
    </row>
    <row r="5" spans="1:6" ht="15.75" customHeight="1" x14ac:dyDescent="0.3">
      <c r="A5" s="8" t="s">
        <v>5</v>
      </c>
      <c r="B5" s="8"/>
      <c r="C5" s="7" t="s">
        <v>6</v>
      </c>
      <c r="D5" s="7"/>
      <c r="E5" s="7"/>
      <c r="F5" s="7"/>
    </row>
    <row r="6" spans="1:6" ht="15.75" customHeight="1" x14ac:dyDescent="0.3">
      <c r="A6" s="8" t="s">
        <v>7</v>
      </c>
      <c r="B6" s="8"/>
      <c r="C6" s="7" t="s">
        <v>8</v>
      </c>
      <c r="D6" s="7"/>
      <c r="E6" s="7"/>
      <c r="F6" s="7"/>
    </row>
    <row r="7" spans="1:6" ht="24.6" customHeight="1" x14ac:dyDescent="0.3">
      <c r="A7" s="8" t="s">
        <v>9</v>
      </c>
      <c r="B7" s="8"/>
      <c r="C7" s="6" t="s">
        <v>10</v>
      </c>
      <c r="D7" s="6"/>
      <c r="E7" s="6"/>
      <c r="F7" s="6"/>
    </row>
    <row r="8" spans="1:6" ht="15.75" customHeight="1" x14ac:dyDescent="0.3">
      <c r="A8" s="8" t="s">
        <v>11</v>
      </c>
      <c r="B8" s="8"/>
      <c r="C8" s="7" t="s">
        <v>127</v>
      </c>
      <c r="D8" s="7"/>
      <c r="E8" s="7"/>
      <c r="F8" s="7"/>
    </row>
    <row r="9" spans="1:6" ht="15.75" customHeight="1" x14ac:dyDescent="0.3">
      <c r="A9" s="8" t="s">
        <v>12</v>
      </c>
      <c r="B9" s="8"/>
      <c r="C9" s="7" t="s">
        <v>126</v>
      </c>
      <c r="D9" s="7"/>
      <c r="E9" s="7"/>
      <c r="F9" s="7"/>
    </row>
    <row r="11" spans="1:6" ht="13.5" customHeight="1" x14ac:dyDescent="0.3">
      <c r="A11" s="5" t="s">
        <v>13</v>
      </c>
      <c r="B11" s="5"/>
      <c r="C11" s="5"/>
      <c r="D11" s="5"/>
      <c r="E11" s="5"/>
      <c r="F11" s="5"/>
    </row>
    <row r="12" spans="1:6" x14ac:dyDescent="0.3">
      <c r="A12" s="12" t="s">
        <v>14</v>
      </c>
      <c r="B12" s="12" t="s">
        <v>15</v>
      </c>
      <c r="C12" s="12" t="s">
        <v>16</v>
      </c>
      <c r="D12" s="12" t="s">
        <v>17</v>
      </c>
    </row>
    <row r="13" spans="1:6" ht="23.4" customHeight="1" x14ac:dyDescent="0.3">
      <c r="A13" s="13" t="s">
        <v>18</v>
      </c>
      <c r="B13" s="13" t="s">
        <v>124</v>
      </c>
      <c r="C13" s="13" t="s">
        <v>19</v>
      </c>
      <c r="D13" s="13" t="s">
        <v>20</v>
      </c>
    </row>
    <row r="14" spans="1:6" ht="15.75" customHeight="1" x14ac:dyDescent="0.3">
      <c r="A14" s="14" t="s">
        <v>21</v>
      </c>
      <c r="B14" s="14" t="s">
        <v>123</v>
      </c>
      <c r="C14" s="14" t="s">
        <v>19</v>
      </c>
      <c r="D14" s="14" t="s">
        <v>20</v>
      </c>
    </row>
    <row r="15" spans="1:6" ht="15.75" customHeight="1" x14ac:dyDescent="0.3">
      <c r="A15" s="13" t="s">
        <v>22</v>
      </c>
      <c r="B15" s="13" t="s">
        <v>125</v>
      </c>
      <c r="C15" s="13" t="s">
        <v>19</v>
      </c>
      <c r="D15" s="13" t="s">
        <v>20</v>
      </c>
    </row>
    <row r="17" spans="1:6" ht="15.75" customHeight="1" x14ac:dyDescent="0.3">
      <c r="A17" s="4" t="s">
        <v>23</v>
      </c>
      <c r="B17" s="4"/>
      <c r="C17" s="4"/>
      <c r="D17" s="4"/>
      <c r="E17" s="4"/>
      <c r="F17" s="4"/>
    </row>
  </sheetData>
  <mergeCells count="17">
    <mergeCell ref="A17:F17"/>
    <mergeCell ref="A8:B8"/>
    <mergeCell ref="C8:F8"/>
    <mergeCell ref="A9:B9"/>
    <mergeCell ref="C9:F9"/>
    <mergeCell ref="A11:F11"/>
    <mergeCell ref="A5:B5"/>
    <mergeCell ref="C5:F5"/>
    <mergeCell ref="A6:B6"/>
    <mergeCell ref="C6:F6"/>
    <mergeCell ref="A7:B7"/>
    <mergeCell ref="C7:F7"/>
    <mergeCell ref="A1:F1"/>
    <mergeCell ref="A2:B2"/>
    <mergeCell ref="C2:D2"/>
    <mergeCell ref="E2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showGridLines="0" zoomScaleNormal="100" workbookViewId="0">
      <pane ySplit="3" topLeftCell="A4" activePane="bottomLeft" state="frozen"/>
      <selection pane="bottomLeft" sqref="A1:L1"/>
    </sheetView>
  </sheetViews>
  <sheetFormatPr baseColWidth="10" defaultColWidth="8.6640625" defaultRowHeight="14.4" x14ac:dyDescent="0.3"/>
  <cols>
    <col min="1" max="1" width="9" customWidth="1"/>
    <col min="2" max="2" width="34" customWidth="1"/>
    <col min="3" max="3" width="26" customWidth="1"/>
    <col min="4" max="4" width="16" customWidth="1"/>
    <col min="5" max="5" width="13" customWidth="1"/>
    <col min="6" max="6" width="14" customWidth="1"/>
    <col min="7" max="7" width="18" customWidth="1"/>
    <col min="8" max="10" width="22" customWidth="1"/>
    <col min="11" max="11" width="16" customWidth="1"/>
    <col min="12" max="12" width="36" customWidth="1"/>
  </cols>
  <sheetData>
    <row r="1" spans="1:12" ht="25.5" customHeight="1" x14ac:dyDescent="0.3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3.5" customHeight="1" x14ac:dyDescent="0.3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3">
      <c r="A3" s="15" t="s">
        <v>26</v>
      </c>
      <c r="B3" s="15" t="s">
        <v>27</v>
      </c>
      <c r="C3" s="15" t="s">
        <v>28</v>
      </c>
      <c r="D3" s="15" t="s">
        <v>29</v>
      </c>
      <c r="E3" s="15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15" t="s">
        <v>35</v>
      </c>
      <c r="K3" s="15" t="s">
        <v>36</v>
      </c>
      <c r="L3" s="15" t="s">
        <v>37</v>
      </c>
    </row>
    <row r="4" spans="1:12" ht="15.75" customHeight="1" x14ac:dyDescent="0.3">
      <c r="A4" s="16" t="s">
        <v>38</v>
      </c>
      <c r="B4" s="17" t="s">
        <v>39</v>
      </c>
      <c r="C4" s="17" t="s">
        <v>40</v>
      </c>
      <c r="D4" s="16" t="s">
        <v>41</v>
      </c>
      <c r="E4" s="16" t="s">
        <v>42</v>
      </c>
      <c r="F4" s="16">
        <v>3</v>
      </c>
      <c r="G4" s="18" t="s">
        <v>43</v>
      </c>
      <c r="H4" s="16" t="s">
        <v>44</v>
      </c>
      <c r="I4" s="16" t="s">
        <v>45</v>
      </c>
      <c r="J4" s="16" t="s">
        <v>46</v>
      </c>
      <c r="K4" s="19" t="s">
        <v>47</v>
      </c>
      <c r="L4" s="17" t="s">
        <v>48</v>
      </c>
    </row>
    <row r="5" spans="1:12" ht="15.75" customHeight="1" x14ac:dyDescent="0.3">
      <c r="A5" s="20" t="s">
        <v>49</v>
      </c>
      <c r="B5" s="13" t="s">
        <v>50</v>
      </c>
      <c r="C5" s="13" t="s">
        <v>51</v>
      </c>
      <c r="D5" s="20" t="s">
        <v>52</v>
      </c>
      <c r="E5" s="20" t="s">
        <v>53</v>
      </c>
      <c r="F5" s="20">
        <v>3</v>
      </c>
      <c r="G5" s="18" t="s">
        <v>43</v>
      </c>
      <c r="H5" s="20" t="s">
        <v>44</v>
      </c>
      <c r="I5" s="20" t="s">
        <v>54</v>
      </c>
      <c r="J5" s="20" t="s">
        <v>55</v>
      </c>
      <c r="K5" s="19" t="s">
        <v>47</v>
      </c>
      <c r="L5" s="13" t="s">
        <v>48</v>
      </c>
    </row>
    <row r="6" spans="1:12" ht="15.75" customHeight="1" x14ac:dyDescent="0.3">
      <c r="A6" s="16" t="s">
        <v>56</v>
      </c>
      <c r="B6" s="17" t="s">
        <v>57</v>
      </c>
      <c r="C6" s="17" t="s">
        <v>58</v>
      </c>
      <c r="D6" s="16" t="s">
        <v>59</v>
      </c>
      <c r="E6" s="16" t="s">
        <v>53</v>
      </c>
      <c r="F6" s="16">
        <v>3</v>
      </c>
      <c r="G6" s="18" t="s">
        <v>43</v>
      </c>
      <c r="H6" s="16" t="s">
        <v>44</v>
      </c>
      <c r="I6" s="16" t="s">
        <v>45</v>
      </c>
      <c r="J6" s="16" t="s">
        <v>55</v>
      </c>
      <c r="K6" s="19" t="s">
        <v>47</v>
      </c>
      <c r="L6" s="17" t="s">
        <v>48</v>
      </c>
    </row>
    <row r="7" spans="1:12" ht="15.75" customHeight="1" x14ac:dyDescent="0.3">
      <c r="A7" s="20" t="s">
        <v>60</v>
      </c>
      <c r="B7" s="13" t="s">
        <v>61</v>
      </c>
      <c r="C7" s="13" t="s">
        <v>62</v>
      </c>
      <c r="D7" s="20" t="s">
        <v>63</v>
      </c>
      <c r="E7" s="20" t="s">
        <v>64</v>
      </c>
      <c r="F7" s="20">
        <v>4</v>
      </c>
      <c r="G7" s="21" t="s">
        <v>65</v>
      </c>
      <c r="H7" s="20" t="s">
        <v>44</v>
      </c>
      <c r="I7" s="20" t="s">
        <v>45</v>
      </c>
      <c r="J7" s="20" t="s">
        <v>66</v>
      </c>
      <c r="K7" s="22" t="s">
        <v>67</v>
      </c>
      <c r="L7" s="13" t="s">
        <v>68</v>
      </c>
    </row>
    <row r="8" spans="1:12" ht="15.75" customHeight="1" x14ac:dyDescent="0.3">
      <c r="A8" s="16" t="s">
        <v>69</v>
      </c>
      <c r="B8" s="17" t="s">
        <v>70</v>
      </c>
      <c r="C8" s="17" t="s">
        <v>71</v>
      </c>
      <c r="D8" s="16" t="s">
        <v>72</v>
      </c>
      <c r="E8" s="16" t="s">
        <v>73</v>
      </c>
      <c r="F8" s="16">
        <v>4</v>
      </c>
      <c r="G8" s="18" t="s">
        <v>43</v>
      </c>
      <c r="H8" s="16" t="s">
        <v>44</v>
      </c>
      <c r="I8" s="16" t="s">
        <v>74</v>
      </c>
      <c r="J8" s="16" t="s">
        <v>75</v>
      </c>
      <c r="K8" s="19" t="s">
        <v>47</v>
      </c>
      <c r="L8" s="17" t="s">
        <v>76</v>
      </c>
    </row>
    <row r="9" spans="1:12" ht="15.75" customHeight="1" x14ac:dyDescent="0.3">
      <c r="A9" s="20" t="s">
        <v>77</v>
      </c>
      <c r="B9" s="13" t="s">
        <v>78</v>
      </c>
      <c r="C9" s="13" t="s">
        <v>79</v>
      </c>
      <c r="D9" s="20" t="s">
        <v>80</v>
      </c>
      <c r="E9" s="20" t="s">
        <v>73</v>
      </c>
      <c r="F9" s="20">
        <v>4</v>
      </c>
      <c r="G9" s="18" t="s">
        <v>43</v>
      </c>
      <c r="H9" s="20" t="s">
        <v>44</v>
      </c>
      <c r="I9" s="20" t="s">
        <v>81</v>
      </c>
      <c r="J9" s="20" t="s">
        <v>82</v>
      </c>
      <c r="K9" s="23" t="s">
        <v>83</v>
      </c>
      <c r="L9" s="13" t="s">
        <v>84</v>
      </c>
    </row>
    <row r="10" spans="1:12" ht="15.75" customHeight="1" x14ac:dyDescent="0.3">
      <c r="A10" s="16" t="s">
        <v>85</v>
      </c>
      <c r="B10" s="17" t="s">
        <v>86</v>
      </c>
      <c r="C10" s="17" t="s">
        <v>87</v>
      </c>
      <c r="D10" s="16" t="s">
        <v>88</v>
      </c>
      <c r="E10" s="16" t="s">
        <v>89</v>
      </c>
      <c r="F10" s="16">
        <v>3</v>
      </c>
      <c r="G10" s="18" t="s">
        <v>43</v>
      </c>
      <c r="H10" s="16" t="s">
        <v>44</v>
      </c>
      <c r="I10" s="16" t="s">
        <v>54</v>
      </c>
      <c r="J10" s="16" t="s">
        <v>90</v>
      </c>
      <c r="K10" s="23" t="s">
        <v>83</v>
      </c>
      <c r="L10" s="17" t="s">
        <v>91</v>
      </c>
    </row>
    <row r="11" spans="1:12" ht="15.75" customHeight="1" x14ac:dyDescent="0.3">
      <c r="A11" s="20" t="s">
        <v>92</v>
      </c>
      <c r="B11" s="13" t="s">
        <v>93</v>
      </c>
      <c r="C11" s="13" t="s">
        <v>94</v>
      </c>
      <c r="D11" s="20" t="s">
        <v>95</v>
      </c>
      <c r="E11" s="20" t="s">
        <v>96</v>
      </c>
      <c r="F11" s="20">
        <v>2</v>
      </c>
      <c r="G11" s="18" t="s">
        <v>43</v>
      </c>
      <c r="H11" s="20" t="s">
        <v>44</v>
      </c>
      <c r="I11" s="20" t="s">
        <v>45</v>
      </c>
      <c r="J11" s="20" t="s">
        <v>97</v>
      </c>
      <c r="K11" s="21" t="s">
        <v>98</v>
      </c>
      <c r="L11" s="13" t="s">
        <v>99</v>
      </c>
    </row>
    <row r="12" spans="1:12" ht="15.75" customHeight="1" x14ac:dyDescent="0.3">
      <c r="A12" s="16" t="s">
        <v>100</v>
      </c>
      <c r="B12" s="17" t="s">
        <v>101</v>
      </c>
      <c r="C12" s="17" t="s">
        <v>102</v>
      </c>
      <c r="D12" s="16" t="s">
        <v>103</v>
      </c>
      <c r="E12" s="16" t="s">
        <v>104</v>
      </c>
      <c r="F12" s="16">
        <v>2</v>
      </c>
      <c r="G12" s="18" t="s">
        <v>43</v>
      </c>
      <c r="H12" s="16" t="s">
        <v>44</v>
      </c>
      <c r="I12" s="16" t="s">
        <v>74</v>
      </c>
      <c r="J12" s="16" t="s">
        <v>105</v>
      </c>
      <c r="K12" s="19" t="s">
        <v>47</v>
      </c>
      <c r="L12" s="17" t="s">
        <v>106</v>
      </c>
    </row>
    <row r="13" spans="1:12" ht="15.75" customHeight="1" x14ac:dyDescent="0.3">
      <c r="A13" s="20" t="s">
        <v>107</v>
      </c>
      <c r="B13" s="13" t="s">
        <v>108</v>
      </c>
      <c r="C13" s="13" t="s">
        <v>109</v>
      </c>
      <c r="D13" s="20" t="s">
        <v>110</v>
      </c>
      <c r="E13" s="20" t="s">
        <v>104</v>
      </c>
      <c r="F13" s="20">
        <v>2</v>
      </c>
      <c r="G13" s="21" t="s">
        <v>111</v>
      </c>
      <c r="H13" s="20" t="s">
        <v>44</v>
      </c>
      <c r="I13" s="20" t="s">
        <v>112</v>
      </c>
      <c r="J13" s="20" t="s">
        <v>113</v>
      </c>
      <c r="K13" s="21" t="s">
        <v>98</v>
      </c>
      <c r="L13" s="13" t="s">
        <v>114</v>
      </c>
    </row>
    <row r="15" spans="1:12" ht="19.5" customHeight="1" x14ac:dyDescent="0.3">
      <c r="A15" s="5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.75" customHeight="1" x14ac:dyDescent="0.3">
      <c r="A16" s="1" t="s">
        <v>116</v>
      </c>
      <c r="B16" s="1"/>
      <c r="C16" s="1"/>
      <c r="D16" s="1"/>
      <c r="E16" s="6">
        <f>COUNTA(A4:A13)</f>
        <v>10</v>
      </c>
      <c r="F16" s="6"/>
      <c r="G16" s="6"/>
      <c r="H16" s="6"/>
      <c r="I16" s="6"/>
      <c r="J16" s="6"/>
      <c r="K16" s="6"/>
      <c r="L16" s="6"/>
    </row>
    <row r="17" spans="1:12" ht="15.75" customHeight="1" x14ac:dyDescent="0.3">
      <c r="A17" s="1" t="s">
        <v>117</v>
      </c>
      <c r="B17" s="1"/>
      <c r="C17" s="1"/>
      <c r="D17" s="1"/>
      <c r="E17" s="6">
        <f>COUNTIF(G4:G13,"*Opérationnel*")</f>
        <v>8</v>
      </c>
      <c r="F17" s="6"/>
      <c r="G17" s="6"/>
      <c r="H17" s="6"/>
      <c r="I17" s="6"/>
      <c r="J17" s="6"/>
      <c r="K17" s="6"/>
      <c r="L17" s="6"/>
    </row>
    <row r="18" spans="1:12" ht="15.75" customHeight="1" x14ac:dyDescent="0.3">
      <c r="A18" s="1" t="s">
        <v>118</v>
      </c>
      <c r="B18" s="1"/>
      <c r="C18" s="1"/>
      <c r="D18" s="1"/>
      <c r="E18" s="6">
        <f>COUNTIF(G4:G13,"*À*")</f>
        <v>2</v>
      </c>
      <c r="F18" s="6"/>
      <c r="G18" s="6"/>
      <c r="H18" s="6"/>
      <c r="I18" s="6"/>
      <c r="J18" s="6"/>
      <c r="K18" s="6"/>
      <c r="L18" s="6"/>
    </row>
    <row r="19" spans="1:12" ht="15.75" customHeight="1" x14ac:dyDescent="0.3">
      <c r="A19" s="1" t="s">
        <v>119</v>
      </c>
      <c r="B19" s="1"/>
      <c r="C19" s="1"/>
      <c r="D19" s="1"/>
      <c r="E19" s="6">
        <f>COUNTIF(K4:K13,"*URGENT*")</f>
        <v>1</v>
      </c>
      <c r="F19" s="6"/>
      <c r="G19" s="6"/>
      <c r="H19" s="6"/>
      <c r="I19" s="6"/>
      <c r="J19" s="6"/>
      <c r="K19" s="6"/>
      <c r="L19" s="6"/>
    </row>
    <row r="20" spans="1:12" ht="15.75" customHeight="1" x14ac:dyDescent="0.3">
      <c r="A20" s="1" t="s">
        <v>120</v>
      </c>
      <c r="B20" s="1"/>
      <c r="C20" s="1"/>
      <c r="D20" s="1"/>
      <c r="E20" s="6" t="str">
        <f>ROUND(COUNTIF(G4:G13,"*Opérationnel*")/COUNTA(A4:A13)*100,1)&amp;"%"</f>
        <v>80%</v>
      </c>
      <c r="F20" s="6"/>
      <c r="G20" s="6"/>
      <c r="H20" s="6"/>
      <c r="I20" s="6"/>
      <c r="J20" s="6"/>
      <c r="K20" s="6"/>
      <c r="L20" s="6"/>
    </row>
    <row r="21" spans="1:12" ht="15.75" customHeight="1" x14ac:dyDescent="0.3">
      <c r="A21" s="1" t="s">
        <v>121</v>
      </c>
      <c r="B21" s="1"/>
      <c r="C21" s="1"/>
      <c r="D21" s="1"/>
      <c r="E21" s="6" t="s">
        <v>122</v>
      </c>
      <c r="F21" s="6"/>
      <c r="G21" s="6"/>
      <c r="H21" s="6"/>
      <c r="I21" s="6"/>
      <c r="J21" s="6"/>
      <c r="K21" s="6"/>
      <c r="L21" s="6"/>
    </row>
  </sheetData>
  <autoFilter ref="A3:L13" xr:uid="{00000000-0009-0000-0000-000001000000}"/>
  <mergeCells count="15">
    <mergeCell ref="A20:D20"/>
    <mergeCell ref="E20:L20"/>
    <mergeCell ref="A21:D21"/>
    <mergeCell ref="E21:L21"/>
    <mergeCell ref="A17:D17"/>
    <mergeCell ref="E17:L17"/>
    <mergeCell ref="A18:D18"/>
    <mergeCell ref="E18:L18"/>
    <mergeCell ref="A19:D19"/>
    <mergeCell ref="E19:L19"/>
    <mergeCell ref="A1:L1"/>
    <mergeCell ref="A2:L2"/>
    <mergeCell ref="A15:L15"/>
    <mergeCell ref="A16:D16"/>
    <mergeCell ref="E16:L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IDENTITÉ</vt:lpstr>
      <vt:lpstr>REGISTRE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emna marzouki</cp:lastModifiedBy>
  <cp:revision>0</cp:revision>
  <dcterms:created xsi:type="dcterms:W3CDTF">2026-06-06T15:53:57Z</dcterms:created>
  <dcterms:modified xsi:type="dcterms:W3CDTF">2026-06-06T16:07:00Z</dcterms:modified>
  <dc:language>en-US</dc:language>
</cp:coreProperties>
</file>