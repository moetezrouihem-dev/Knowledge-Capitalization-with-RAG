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mna\OneDrive\Bureau\iso\clause 7\"/>
    </mc:Choice>
  </mc:AlternateContent>
  <xr:revisionPtr revIDLastSave="0" documentId="13_ncr:1_{1655F336-A41B-49F9-BF44-AAFB91AB6CFC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DENTITÉ" sheetId="1" r:id="rId1"/>
    <sheet name="REGISTRE" sheetId="2" r:id="rId2"/>
  </sheets>
  <definedNames>
    <definedName name="_xlnm._FilterDatabase" localSheetId="1" hidden="1">REGISTRE!$A$4:$L$26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2" i="2" l="1"/>
  <c r="D31" i="2"/>
  <c r="D30" i="2"/>
  <c r="D29" i="2"/>
</calcChain>
</file>

<file path=xl/sharedStrings.xml><?xml version="1.0" encoding="utf-8"?>
<sst xmlns="http://schemas.openxmlformats.org/spreadsheetml/2006/main" count="298" uniqueCount="159">
  <si>
    <t>SFM Technologies  ·  SYSTÈME DE MANAGEMENT DE LA QUALITÉ</t>
  </si>
  <si>
    <t>Référence : FOR-PS1-05</t>
  </si>
  <si>
    <t>Version : V01</t>
  </si>
  <si>
    <t>Date : Juin 2026</t>
  </si>
  <si>
    <t>Registre des Habilitations et Droits d'Accès — §7.2</t>
  </si>
  <si>
    <t>Processus lié</t>
  </si>
  <si>
    <t>PS1 — Ressources Humaines &amp; Compétences</t>
  </si>
  <si>
    <t>Procédure liée</t>
  </si>
  <si>
    <t>PROC-PS3-02 — Gestion des Infrastructures et Maintenance</t>
  </si>
  <si>
    <t>Objectif</t>
  </si>
  <si>
    <t>Tracer et contrôler les droits d'accès critiques accordés aux collaborateurs SFM sur les systèmes et ressources sensibles.</t>
  </si>
  <si>
    <t>Pilote / Rempli par</t>
  </si>
  <si>
    <t>Conservation</t>
  </si>
  <si>
    <t>CADRE DE VALIDATION</t>
  </si>
  <si>
    <t>Acteur</t>
  </si>
  <si>
    <t>Rôle</t>
  </si>
  <si>
    <t>Signature</t>
  </si>
  <si>
    <t>Date</t>
  </si>
  <si>
    <t>Rédigé par</t>
  </si>
  <si>
    <t>_______________</t>
  </si>
  <si>
    <t>___/___/______</t>
  </si>
  <si>
    <t>Vérifié par</t>
  </si>
  <si>
    <t>Approuvé par</t>
  </si>
  <si>
    <t>📋  REGISTRE DES HABILITATIONS ET DROITS D'ACCÈS — SFM Technologies</t>
  </si>
  <si>
    <t>Légende :  ✅ Accordé  |  ❌ Non accordé  |  [R] = Lecture seule  |  [R/W] = Lecture/Écriture  |  [ADMIN] = Administration  |  🔴 Accès critique  |  🟡 Accès limité  |  ⚪ Pas d'accès système</t>
  </si>
  <si>
    <t>⚙️  Score de criticité = SOMME des accès accordés pondérés  | 🔴 ≥4 pts = Critique  | 🟡 2-3 pts = Modéré  | ⚪ ≤1 pt = Standard</t>
  </si>
  <si>
    <t>N°</t>
  </si>
  <si>
    <t>Collaborateur (NOM, Prénom)</t>
  </si>
  <si>
    <t>Fonction / BU</t>
  </si>
  <si>
    <t>AWS [R/W/ADMIN]</t>
  </si>
  <si>
    <t>Signature Rapports QoS/QoE</t>
  </si>
  <si>
    <t>Habilitation à Former</t>
  </si>
  <si>
    <t>Coffre-fort Mots de Passe</t>
  </si>
  <si>
    <t>OrQoEstra / QoEntum</t>
  </si>
  <si>
    <t>Azure / COSAP</t>
  </si>
  <si>
    <t>Date d'effet</t>
  </si>
  <si>
    <t>Score Criticité</t>
  </si>
  <si>
    <t>Niveau Accès</t>
  </si>
  <si>
    <t>01</t>
  </si>
  <si>
    <t>TABBANE, Sami</t>
  </si>
  <si>
    <t>DG</t>
  </si>
  <si>
    <t>✅ [ADMIN]</t>
  </si>
  <si>
    <t>✅ Signataire final</t>
  </si>
  <si>
    <t>✅</t>
  </si>
  <si>
    <t>[ADMIN]</t>
  </si>
  <si>
    <t>01/01/2020</t>
  </si>
  <si>
    <t>🔴 CRITIQUE</t>
  </si>
  <si>
    <t>02</t>
  </si>
  <si>
    <t>KONÉ, Lahaou</t>
  </si>
  <si>
    <t>IT Cloud &amp; Réseaux</t>
  </si>
  <si>
    <t>❌</t>
  </si>
  <si>
    <t>✅ IT &amp; Cloud</t>
  </si>
  <si>
    <t>01/01/2025</t>
  </si>
  <si>
    <t>03</t>
  </si>
  <si>
    <t>BEN AMOR, Yassine</t>
  </si>
  <si>
    <t>DevOps / IT</t>
  </si>
  <si>
    <t>✅ [R/W]</t>
  </si>
  <si>
    <t>01/03/2025</t>
  </si>
  <si>
    <t>🟡 MODÉRÉ</t>
  </si>
  <si>
    <t>04</t>
  </si>
  <si>
    <t>GUIRAT, Heni</t>
  </si>
  <si>
    <t>Sécurité IT</t>
  </si>
  <si>
    <t>✅ [R] Audit</t>
  </si>
  <si>
    <t>✅ Cybersec</t>
  </si>
  <si>
    <t>✅ [R/W] Vault</t>
  </si>
  <si>
    <t>05</t>
  </si>
  <si>
    <t>REJEB, Fedi</t>
  </si>
  <si>
    <t>Ingénieur Réseau IT</t>
  </si>
  <si>
    <t>✅ [R] Monitoring</t>
  </si>
  <si>
    <t>✅ [R] Réseau</t>
  </si>
  <si>
    <t>06</t>
  </si>
  <si>
    <t>SGHIR, Hassan</t>
  </si>
  <si>
    <t>Expert Technique BU Telco</t>
  </si>
  <si>
    <t>✅ [R/W] QoEntum</t>
  </si>
  <si>
    <t>✅ Signataire QoS/QoE</t>
  </si>
  <si>
    <t>✅ Telco &amp; QoS</t>
  </si>
  <si>
    <t>07</t>
  </si>
  <si>
    <t>TABBABI, Ali</t>
  </si>
  <si>
    <t>Ingénieur Technique BU Telco</t>
  </si>
  <si>
    <t>✅ [R] QoEntum</t>
  </si>
  <si>
    <t>✅ co-signature</t>
  </si>
  <si>
    <t>✅ [R]</t>
  </si>
  <si>
    <t>01/06/2025</t>
  </si>
  <si>
    <t>08</t>
  </si>
  <si>
    <t>BOURICHA, Fedi</t>
  </si>
  <si>
    <t>⚪ STANDARD</t>
  </si>
  <si>
    <t>09</t>
  </si>
  <si>
    <t>BEN ROMDHANE, Houcem</t>
  </si>
  <si>
    <t>01/09/2025</t>
  </si>
  <si>
    <t>10</t>
  </si>
  <si>
    <t>MELLEKH, Aya</t>
  </si>
  <si>
    <t>01/03/2026</t>
  </si>
  <si>
    <t>11</t>
  </si>
  <si>
    <t>SIOUD, Erij</t>
  </si>
  <si>
    <t>Cheffe BU Telco</t>
  </si>
  <si>
    <t>✅ [R] Tableaux de bord</t>
  </si>
  <si>
    <t>✅ Signataire BU</t>
  </si>
  <si>
    <t>✅ Formations Telco</t>
  </si>
  <si>
    <t>01/01/2024</t>
  </si>
  <si>
    <t>12</t>
  </si>
  <si>
    <t>SELMI, Rim</t>
  </si>
  <si>
    <t>Cheffe BU Digital</t>
  </si>
  <si>
    <t>✅ [R] COSAP</t>
  </si>
  <si>
    <t>✅ Digital</t>
  </si>
  <si>
    <t>✅ Azure</t>
  </si>
  <si>
    <t>13</t>
  </si>
  <si>
    <t>SAIDI, Monia</t>
  </si>
  <si>
    <t>Cheffe BU Formation</t>
  </si>
  <si>
    <t>✅ Certifiantes</t>
  </si>
  <si>
    <t>✅ [R] Formation</t>
  </si>
  <si>
    <t>14</t>
  </si>
  <si>
    <t>NAJAI, Eya</t>
  </si>
  <si>
    <t>Collaboratrice BU Formation</t>
  </si>
  <si>
    <t>✅ Sous supervision</t>
  </si>
  <si>
    <t>15</t>
  </si>
  <si>
    <t>SALHI, Maroua</t>
  </si>
  <si>
    <t>IA &amp; Data Pôle Opérations</t>
  </si>
  <si>
    <t>✅ [R/W] OrQoEstra</t>
  </si>
  <si>
    <t>✅ IA &amp; Big Data</t>
  </si>
  <si>
    <t>01/04/2025</t>
  </si>
  <si>
    <t>16</t>
  </si>
  <si>
    <t>MASMOUDI, Najla</t>
  </si>
  <si>
    <t>Commercial Back Office</t>
  </si>
  <si>
    <t>17</t>
  </si>
  <si>
    <t>IDOUDI, Manel</t>
  </si>
  <si>
    <t>PMO-Qualité Pilote SMQ</t>
  </si>
  <si>
    <t>✅ SMQ &amp; Qualité</t>
  </si>
  <si>
    <t>18</t>
  </si>
  <si>
    <t>WERTANI, Marwa</t>
  </si>
  <si>
    <t>SAF — Finances</t>
  </si>
  <si>
    <t>✅ [R] Financier</t>
  </si>
  <si>
    <t>19</t>
  </si>
  <si>
    <t>DRIDI, Houssem</t>
  </si>
  <si>
    <t>RAF — Finances</t>
  </si>
  <si>
    <t>20</t>
  </si>
  <si>
    <t>EL GHOUL, Dorsaf</t>
  </si>
  <si>
    <t>Ressources Humaines</t>
  </si>
  <si>
    <t>✅ [R/W] RH</t>
  </si>
  <si>
    <t>21</t>
  </si>
  <si>
    <t>TIODOUNG, Gabriel</t>
  </si>
  <si>
    <t>Expert BU Digital</t>
  </si>
  <si>
    <t>✅ [R/W] Azure DevOps</t>
  </si>
  <si>
    <t>22</t>
  </si>
  <si>
    <t>GAIGI, Soumaya</t>
  </si>
  <si>
    <t>Designer UX/UI</t>
  </si>
  <si>
    <t>📊  SYNTHÈSE AUTOMATIQUE</t>
  </si>
  <si>
    <t>Total collaborateurs</t>
  </si>
  <si>
    <t>Accès ADMIN (critiques)</t>
  </si>
  <si>
    <t>Score Criticité MAX</t>
  </si>
  <si>
    <t>Signataires QoS/QoE</t>
  </si>
  <si>
    <t>Prochaine revue</t>
  </si>
  <si>
    <t>Décembre 2026</t>
  </si>
  <si>
    <t>Statut global</t>
  </si>
  <si>
    <t>✅ Conforme — Moindre privilège</t>
  </si>
  <si>
    <t xml:space="preserve"> Pilote SMQ / PMO-Qualité</t>
  </si>
  <si>
    <t>Resp  IT, Cloud &amp; Réseaux</t>
  </si>
  <si>
    <t xml:space="preserve"> Directeur Général</t>
  </si>
  <si>
    <t>Durée emploi + 5 ans — Zone sécurisée</t>
  </si>
  <si>
    <t>Pilote SMQ / Resp  IT Cloud &amp; Réseaux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</si>
</sst>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11"/>
      <color rgb="FF1F3864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i/>
      <sz val="9"/>
      <color rgb="FF404040"/>
      <name val="Arial"/>
      <family val="2"/>
    </font>
    <font>
      <b/>
      <sz val="12"/>
      <color rgb="FFFFFFFF"/>
      <name val="Arial"/>
      <family val="2"/>
    </font>
    <font>
      <i/>
      <sz val="8"/>
      <color rgb="FF1F3864"/>
      <name val="Arial"/>
      <family val="2"/>
    </font>
    <font>
      <sz val="9"/>
      <color rgb="FF375623"/>
      <name val="Arial"/>
      <family val="2"/>
    </font>
    <font>
      <b/>
      <sz val="9"/>
      <color rgb="FFC00000"/>
      <name val="Arial"/>
      <family val="2"/>
    </font>
    <font>
      <sz val="9"/>
      <color rgb="FF595959"/>
      <name val="Arial"/>
      <family val="2"/>
    </font>
    <font>
      <b/>
      <sz val="9"/>
      <color rgb="FF833C00"/>
      <name val="Arial"/>
      <family val="2"/>
    </font>
    <font>
      <b/>
      <sz val="9"/>
      <color rgb="FF1F3864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C9A227"/>
        <bgColor rgb="FF99CC00"/>
      </patternFill>
    </fill>
    <fill>
      <patternFill patternType="solid">
        <fgColor rgb="FFD6E4F0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FFFFF"/>
        <bgColor rgb="FFF7FBFF"/>
      </patternFill>
    </fill>
    <fill>
      <patternFill patternType="solid">
        <fgColor rgb="FFF2F2F2"/>
        <bgColor rgb="FFF7FBFF"/>
      </patternFill>
    </fill>
    <fill>
      <patternFill patternType="solid">
        <fgColor rgb="FFE2EFDA"/>
        <bgColor rgb="FFF2F2F2"/>
      </patternFill>
    </fill>
    <fill>
      <patternFill patternType="solid">
        <fgColor rgb="FFFFD7D7"/>
        <bgColor rgb="FFFCE4D6"/>
      </patternFill>
    </fill>
    <fill>
      <patternFill patternType="solid">
        <fgColor rgb="FFF7FBFF"/>
        <bgColor rgb="FFFFFFFF"/>
      </patternFill>
    </fill>
    <fill>
      <patternFill patternType="solid">
        <fgColor rgb="FFFCE4D6"/>
        <bgColor rgb="FFFFD7D7"/>
      </patternFill>
    </fill>
  </fills>
  <borders count="3">
    <border>
      <left/>
      <right/>
      <top/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3" fillId="5" borderId="1" xfId="0" applyFont="1" applyFill="1" applyBorder="1" applyAlignment="1">
      <alignment horizontal="left" vertical="center" wrapText="1"/>
    </xf>
    <xf numFmtId="0" fontId="8" fillId="5" borderId="0" xfId="0" applyFont="1" applyFill="1" applyBorder="1" applyAlignment="1">
      <alignment horizontal="left" vertical="center" wrapText="1"/>
    </xf>
    <xf numFmtId="0" fontId="8" fillId="6" borderId="0" xfId="0" applyFont="1" applyFill="1" applyBorder="1" applyAlignment="1">
      <alignment horizontal="left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6" fillId="8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left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2" fillId="1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BFF"/>
      <rgbColor rgb="FFE2EFDA"/>
      <rgbColor rgb="FFFCE4D6"/>
      <rgbColor rgb="FF99CCFF"/>
      <rgbColor rgb="FFFF99CC"/>
      <rgbColor rgb="FFCC99FF"/>
      <rgbColor rgb="FFFFD7D7"/>
      <rgbColor rgb="FF2E75B6"/>
      <rgbColor rgb="FF33CCCC"/>
      <rgbColor rgb="FF99CC00"/>
      <rgbColor rgb="FFFFCC00"/>
      <rgbColor rgb="FFC9A227"/>
      <rgbColor rgb="FFFF6600"/>
      <rgbColor rgb="FF595959"/>
      <rgbColor rgb="FFA6A6A6"/>
      <rgbColor rgb="FF1F3864"/>
      <rgbColor rgb="FF339966"/>
      <rgbColor rgb="FF003300"/>
      <rgbColor rgb="FF375623"/>
      <rgbColor rgb="FF833C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showGridLines="0" zoomScaleNormal="100" workbookViewId="0">
      <selection activeCell="A17" sqref="A17:F17"/>
    </sheetView>
  </sheetViews>
  <sheetFormatPr baseColWidth="10" defaultColWidth="8.6640625" defaultRowHeight="14.4" x14ac:dyDescent="0.3"/>
  <cols>
    <col min="1" max="1" width="22" customWidth="1"/>
    <col min="2" max="2" width="30" customWidth="1"/>
    <col min="3" max="4" width="18" customWidth="1"/>
    <col min="5" max="6" width="16" customWidth="1"/>
  </cols>
  <sheetData>
    <row r="1" spans="1:6" ht="27.75" customHeight="1" x14ac:dyDescent="0.3">
      <c r="A1" s="12" t="s">
        <v>0</v>
      </c>
      <c r="B1" s="12"/>
      <c r="C1" s="12"/>
      <c r="D1" s="12"/>
      <c r="E1" s="12"/>
      <c r="F1" s="12"/>
    </row>
    <row r="2" spans="1:6" ht="18" customHeight="1" x14ac:dyDescent="0.3">
      <c r="A2" s="11" t="s">
        <v>1</v>
      </c>
      <c r="B2" s="11"/>
      <c r="C2" s="11" t="s">
        <v>2</v>
      </c>
      <c r="D2" s="11"/>
      <c r="E2" s="11" t="s">
        <v>3</v>
      </c>
      <c r="F2" s="11"/>
    </row>
    <row r="3" spans="1:6" ht="24" customHeight="1" x14ac:dyDescent="0.3">
      <c r="A3" s="10" t="s">
        <v>4</v>
      </c>
      <c r="B3" s="10"/>
      <c r="C3" s="10"/>
      <c r="D3" s="10"/>
      <c r="E3" s="10"/>
      <c r="F3" s="10"/>
    </row>
    <row r="5" spans="1:6" ht="15.75" customHeight="1" x14ac:dyDescent="0.3">
      <c r="A5" s="9" t="s">
        <v>5</v>
      </c>
      <c r="B5" s="9"/>
      <c r="C5" s="8" t="s">
        <v>6</v>
      </c>
      <c r="D5" s="8"/>
      <c r="E5" s="8"/>
      <c r="F5" s="8"/>
    </row>
    <row r="6" spans="1:6" ht="15.75" customHeight="1" x14ac:dyDescent="0.3">
      <c r="A6" s="9" t="s">
        <v>7</v>
      </c>
      <c r="B6" s="9"/>
      <c r="C6" s="8" t="s">
        <v>8</v>
      </c>
      <c r="D6" s="8"/>
      <c r="E6" s="8"/>
      <c r="F6" s="8"/>
    </row>
    <row r="7" spans="1:6" ht="31.8" customHeight="1" x14ac:dyDescent="0.3">
      <c r="A7" s="9" t="s">
        <v>9</v>
      </c>
      <c r="B7" s="9"/>
      <c r="C7" s="7" t="s">
        <v>10</v>
      </c>
      <c r="D7" s="7"/>
      <c r="E7" s="7"/>
      <c r="F7" s="7"/>
    </row>
    <row r="8" spans="1:6" ht="15.75" customHeight="1" x14ac:dyDescent="0.3">
      <c r="A8" s="9" t="s">
        <v>11</v>
      </c>
      <c r="B8" s="9"/>
      <c r="C8" s="8" t="s">
        <v>158</v>
      </c>
      <c r="D8" s="8"/>
      <c r="E8" s="8"/>
      <c r="F8" s="8"/>
    </row>
    <row r="9" spans="1:6" ht="15.75" customHeight="1" x14ac:dyDescent="0.3">
      <c r="A9" s="9" t="s">
        <v>12</v>
      </c>
      <c r="B9" s="9"/>
      <c r="C9" s="8" t="s">
        <v>157</v>
      </c>
      <c r="D9" s="8"/>
      <c r="E9" s="8"/>
      <c r="F9" s="8"/>
    </row>
    <row r="11" spans="1:6" ht="13.5" customHeight="1" x14ac:dyDescent="0.3">
      <c r="A11" s="6" t="s">
        <v>13</v>
      </c>
      <c r="B11" s="6"/>
      <c r="C11" s="6"/>
      <c r="D11" s="6"/>
      <c r="E11" s="6"/>
      <c r="F11" s="6"/>
    </row>
    <row r="12" spans="1:6" x14ac:dyDescent="0.3">
      <c r="A12" s="13" t="s">
        <v>14</v>
      </c>
      <c r="B12" s="13" t="s">
        <v>15</v>
      </c>
      <c r="C12" s="13" t="s">
        <v>16</v>
      </c>
      <c r="D12" s="13" t="s">
        <v>17</v>
      </c>
    </row>
    <row r="13" spans="1:6" ht="15.75" customHeight="1" x14ac:dyDescent="0.3">
      <c r="A13" s="14" t="s">
        <v>18</v>
      </c>
      <c r="B13" s="14" t="s">
        <v>154</v>
      </c>
      <c r="C13" s="14" t="s">
        <v>19</v>
      </c>
      <c r="D13" s="14" t="s">
        <v>20</v>
      </c>
    </row>
    <row r="14" spans="1:6" ht="15.75" customHeight="1" x14ac:dyDescent="0.3">
      <c r="A14" s="15" t="s">
        <v>21</v>
      </c>
      <c r="B14" s="15" t="s">
        <v>155</v>
      </c>
      <c r="C14" s="15" t="s">
        <v>19</v>
      </c>
      <c r="D14" s="15" t="s">
        <v>20</v>
      </c>
    </row>
    <row r="15" spans="1:6" ht="15.75" customHeight="1" x14ac:dyDescent="0.3">
      <c r="A15" s="14" t="s">
        <v>22</v>
      </c>
      <c r="B15" s="14" t="s">
        <v>156</v>
      </c>
      <c r="C15" s="14" t="s">
        <v>19</v>
      </c>
      <c r="D15" s="14" t="s">
        <v>20</v>
      </c>
    </row>
    <row r="17" spans="1:6" ht="15.75" customHeight="1" x14ac:dyDescent="0.3">
      <c r="A17" s="5"/>
      <c r="B17" s="5"/>
      <c r="C17" s="5"/>
      <c r="D17" s="5"/>
      <c r="E17" s="5"/>
      <c r="F17" s="5"/>
    </row>
  </sheetData>
  <mergeCells count="17">
    <mergeCell ref="A17:F17"/>
    <mergeCell ref="A8:B8"/>
    <mergeCell ref="C8:F8"/>
    <mergeCell ref="A9:B9"/>
    <mergeCell ref="C9:F9"/>
    <mergeCell ref="A11:F11"/>
    <mergeCell ref="A5:B5"/>
    <mergeCell ref="C5:F5"/>
    <mergeCell ref="A6:B6"/>
    <mergeCell ref="C6:F6"/>
    <mergeCell ref="A7:B7"/>
    <mergeCell ref="C7:F7"/>
    <mergeCell ref="A1:F1"/>
    <mergeCell ref="A2:B2"/>
    <mergeCell ref="C2:D2"/>
    <mergeCell ref="E2:F2"/>
    <mergeCell ref="A3:F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4"/>
  <sheetViews>
    <sheetView showGridLines="0" tabSelected="1" zoomScaleNormal="100" workbookViewId="0">
      <pane ySplit="4" topLeftCell="A5" activePane="bottomLeft" state="frozen"/>
      <selection pane="bottomLeft" activeCell="I4" sqref="I4"/>
    </sheetView>
  </sheetViews>
  <sheetFormatPr baseColWidth="10" defaultColWidth="8.6640625" defaultRowHeight="14.4" x14ac:dyDescent="0.3"/>
  <cols>
    <col min="1" max="1" width="5" customWidth="1"/>
    <col min="2" max="2" width="28" customWidth="1"/>
    <col min="3" max="3" width="26" customWidth="1"/>
    <col min="4" max="4" width="22" customWidth="1"/>
    <col min="5" max="5" width="24" customWidth="1"/>
    <col min="6" max="7" width="22" customWidth="1"/>
    <col min="8" max="8" width="20" customWidth="1"/>
    <col min="9" max="9" width="16" customWidth="1"/>
    <col min="10" max="11" width="14" customWidth="1"/>
    <col min="12" max="12" width="16" customWidth="1"/>
  </cols>
  <sheetData>
    <row r="1" spans="1:12" ht="25.5" customHeight="1" x14ac:dyDescent="0.3">
      <c r="A1" s="4" t="s">
        <v>23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3.5" customHeight="1" x14ac:dyDescent="0.3">
      <c r="A2" s="3" t="s">
        <v>24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13.5" customHeight="1" x14ac:dyDescent="0.3">
      <c r="A3" s="2" t="s">
        <v>25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30" customHeight="1" x14ac:dyDescent="0.3">
      <c r="A4" s="16" t="s">
        <v>26</v>
      </c>
      <c r="B4" s="16" t="s">
        <v>27</v>
      </c>
      <c r="C4" s="16" t="s">
        <v>28</v>
      </c>
      <c r="D4" s="16" t="s">
        <v>29</v>
      </c>
      <c r="E4" s="16" t="s">
        <v>30</v>
      </c>
      <c r="F4" s="16" t="s">
        <v>31</v>
      </c>
      <c r="G4" s="16" t="s">
        <v>32</v>
      </c>
      <c r="H4" s="16" t="s">
        <v>33</v>
      </c>
      <c r="I4" s="16" t="s">
        <v>34</v>
      </c>
      <c r="J4" s="16" t="s">
        <v>35</v>
      </c>
      <c r="K4" s="16" t="s">
        <v>36</v>
      </c>
      <c r="L4" s="16" t="s">
        <v>37</v>
      </c>
    </row>
    <row r="5" spans="1:12" ht="15.75" customHeight="1" x14ac:dyDescent="0.3">
      <c r="A5" s="17" t="s">
        <v>38</v>
      </c>
      <c r="B5" s="14" t="s">
        <v>39</v>
      </c>
      <c r="C5" s="14" t="s">
        <v>40</v>
      </c>
      <c r="D5" s="18" t="s">
        <v>41</v>
      </c>
      <c r="E5" s="18" t="s">
        <v>42</v>
      </c>
      <c r="F5" s="18" t="s">
        <v>43</v>
      </c>
      <c r="G5" s="18" t="s">
        <v>41</v>
      </c>
      <c r="H5" s="17" t="s">
        <v>44</v>
      </c>
      <c r="I5" s="18" t="s">
        <v>43</v>
      </c>
      <c r="J5" s="17" t="s">
        <v>45</v>
      </c>
      <c r="K5" s="19">
        <v>5</v>
      </c>
      <c r="L5" s="19" t="s">
        <v>46</v>
      </c>
    </row>
    <row r="6" spans="1:12" ht="15.75" customHeight="1" x14ac:dyDescent="0.3">
      <c r="A6" s="20" t="s">
        <v>47</v>
      </c>
      <c r="B6" s="21" t="s">
        <v>48</v>
      </c>
      <c r="C6" s="21" t="s">
        <v>49</v>
      </c>
      <c r="D6" s="18" t="s">
        <v>41</v>
      </c>
      <c r="E6" s="22" t="s">
        <v>50</v>
      </c>
      <c r="F6" s="18" t="s">
        <v>51</v>
      </c>
      <c r="G6" s="18" t="s">
        <v>41</v>
      </c>
      <c r="H6" s="22" t="s">
        <v>50</v>
      </c>
      <c r="I6" s="22" t="s">
        <v>50</v>
      </c>
      <c r="J6" s="20" t="s">
        <v>52</v>
      </c>
      <c r="K6" s="19">
        <v>4</v>
      </c>
      <c r="L6" s="19" t="s">
        <v>46</v>
      </c>
    </row>
    <row r="7" spans="1:12" ht="15.75" customHeight="1" x14ac:dyDescent="0.3">
      <c r="A7" s="17" t="s">
        <v>53</v>
      </c>
      <c r="B7" s="14" t="s">
        <v>54</v>
      </c>
      <c r="C7" s="14" t="s">
        <v>55</v>
      </c>
      <c r="D7" s="18" t="s">
        <v>56</v>
      </c>
      <c r="E7" s="22" t="s">
        <v>50</v>
      </c>
      <c r="F7" s="22" t="s">
        <v>50</v>
      </c>
      <c r="G7" s="18" t="s">
        <v>56</v>
      </c>
      <c r="H7" s="22" t="s">
        <v>50</v>
      </c>
      <c r="I7" s="22" t="s">
        <v>50</v>
      </c>
      <c r="J7" s="17" t="s">
        <v>57</v>
      </c>
      <c r="K7" s="23">
        <v>3</v>
      </c>
      <c r="L7" s="23" t="s">
        <v>58</v>
      </c>
    </row>
    <row r="8" spans="1:12" ht="15.75" customHeight="1" x14ac:dyDescent="0.3">
      <c r="A8" s="20" t="s">
        <v>59</v>
      </c>
      <c r="B8" s="21" t="s">
        <v>60</v>
      </c>
      <c r="C8" s="21" t="s">
        <v>61</v>
      </c>
      <c r="D8" s="18" t="s">
        <v>62</v>
      </c>
      <c r="E8" s="22" t="s">
        <v>50</v>
      </c>
      <c r="F8" s="18" t="s">
        <v>63</v>
      </c>
      <c r="G8" s="18" t="s">
        <v>64</v>
      </c>
      <c r="H8" s="22" t="s">
        <v>50</v>
      </c>
      <c r="I8" s="22" t="s">
        <v>50</v>
      </c>
      <c r="J8" s="20" t="s">
        <v>52</v>
      </c>
      <c r="K8" s="23">
        <v>3</v>
      </c>
      <c r="L8" s="23" t="s">
        <v>58</v>
      </c>
    </row>
    <row r="9" spans="1:12" ht="15.75" customHeight="1" x14ac:dyDescent="0.3">
      <c r="A9" s="17" t="s">
        <v>65</v>
      </c>
      <c r="B9" s="14" t="s">
        <v>66</v>
      </c>
      <c r="C9" s="14" t="s">
        <v>67</v>
      </c>
      <c r="D9" s="18" t="s">
        <v>68</v>
      </c>
      <c r="E9" s="22" t="s">
        <v>50</v>
      </c>
      <c r="F9" s="22" t="s">
        <v>50</v>
      </c>
      <c r="G9" s="18" t="s">
        <v>69</v>
      </c>
      <c r="H9" s="22" t="s">
        <v>50</v>
      </c>
      <c r="I9" s="22" t="s">
        <v>50</v>
      </c>
      <c r="J9" s="17" t="s">
        <v>52</v>
      </c>
      <c r="K9" s="23">
        <v>2</v>
      </c>
      <c r="L9" s="23" t="s">
        <v>58</v>
      </c>
    </row>
    <row r="10" spans="1:12" ht="15.75" customHeight="1" x14ac:dyDescent="0.3">
      <c r="A10" s="20" t="s">
        <v>70</v>
      </c>
      <c r="B10" s="21" t="s">
        <v>71</v>
      </c>
      <c r="C10" s="21" t="s">
        <v>72</v>
      </c>
      <c r="D10" s="18" t="s">
        <v>73</v>
      </c>
      <c r="E10" s="18" t="s">
        <v>74</v>
      </c>
      <c r="F10" s="18" t="s">
        <v>75</v>
      </c>
      <c r="G10" s="18" t="s">
        <v>56</v>
      </c>
      <c r="H10" s="18" t="s">
        <v>56</v>
      </c>
      <c r="I10" s="22" t="s">
        <v>50</v>
      </c>
      <c r="J10" s="20" t="s">
        <v>52</v>
      </c>
      <c r="K10" s="19">
        <v>5</v>
      </c>
      <c r="L10" s="19" t="s">
        <v>46</v>
      </c>
    </row>
    <row r="11" spans="1:12" ht="15.75" customHeight="1" x14ac:dyDescent="0.3">
      <c r="A11" s="17" t="s">
        <v>76</v>
      </c>
      <c r="B11" s="14" t="s">
        <v>77</v>
      </c>
      <c r="C11" s="14" t="s">
        <v>78</v>
      </c>
      <c r="D11" s="18" t="s">
        <v>79</v>
      </c>
      <c r="E11" s="18" t="s">
        <v>80</v>
      </c>
      <c r="F11" s="22" t="s">
        <v>50</v>
      </c>
      <c r="G11" s="22" t="s">
        <v>50</v>
      </c>
      <c r="H11" s="18" t="s">
        <v>81</v>
      </c>
      <c r="I11" s="22" t="s">
        <v>50</v>
      </c>
      <c r="J11" s="17" t="s">
        <v>82</v>
      </c>
      <c r="K11" s="23">
        <v>2</v>
      </c>
      <c r="L11" s="23" t="s">
        <v>58</v>
      </c>
    </row>
    <row r="12" spans="1:12" ht="15.75" customHeight="1" x14ac:dyDescent="0.3">
      <c r="A12" s="20" t="s">
        <v>83</v>
      </c>
      <c r="B12" s="21" t="s">
        <v>84</v>
      </c>
      <c r="C12" s="21" t="s">
        <v>78</v>
      </c>
      <c r="D12" s="18" t="s">
        <v>79</v>
      </c>
      <c r="E12" s="22" t="s">
        <v>50</v>
      </c>
      <c r="F12" s="22" t="s">
        <v>50</v>
      </c>
      <c r="G12" s="22" t="s">
        <v>50</v>
      </c>
      <c r="H12" s="18" t="s">
        <v>81</v>
      </c>
      <c r="I12" s="22" t="s">
        <v>50</v>
      </c>
      <c r="J12" s="20" t="s">
        <v>82</v>
      </c>
      <c r="K12" s="22">
        <v>1</v>
      </c>
      <c r="L12" s="22" t="s">
        <v>85</v>
      </c>
    </row>
    <row r="13" spans="1:12" ht="15.75" customHeight="1" x14ac:dyDescent="0.3">
      <c r="A13" s="17" t="s">
        <v>86</v>
      </c>
      <c r="B13" s="14" t="s">
        <v>87</v>
      </c>
      <c r="C13" s="14" t="s">
        <v>78</v>
      </c>
      <c r="D13" s="18" t="s">
        <v>79</v>
      </c>
      <c r="E13" s="22" t="s">
        <v>50</v>
      </c>
      <c r="F13" s="22" t="s">
        <v>50</v>
      </c>
      <c r="G13" s="22" t="s">
        <v>50</v>
      </c>
      <c r="H13" s="18" t="s">
        <v>81</v>
      </c>
      <c r="I13" s="22" t="s">
        <v>50</v>
      </c>
      <c r="J13" s="17" t="s">
        <v>88</v>
      </c>
      <c r="K13" s="22">
        <v>1</v>
      </c>
      <c r="L13" s="22" t="s">
        <v>85</v>
      </c>
    </row>
    <row r="14" spans="1:12" ht="15.75" customHeight="1" x14ac:dyDescent="0.3">
      <c r="A14" s="20" t="s">
        <v>89</v>
      </c>
      <c r="B14" s="21" t="s">
        <v>90</v>
      </c>
      <c r="C14" s="21" t="s">
        <v>78</v>
      </c>
      <c r="D14" s="22" t="s">
        <v>50</v>
      </c>
      <c r="E14" s="22" t="s">
        <v>50</v>
      </c>
      <c r="F14" s="22" t="s">
        <v>50</v>
      </c>
      <c r="G14" s="22" t="s">
        <v>50</v>
      </c>
      <c r="H14" s="22" t="s">
        <v>50</v>
      </c>
      <c r="I14" s="22" t="s">
        <v>50</v>
      </c>
      <c r="J14" s="20" t="s">
        <v>91</v>
      </c>
      <c r="K14" s="22">
        <v>0</v>
      </c>
      <c r="L14" s="22" t="s">
        <v>85</v>
      </c>
    </row>
    <row r="15" spans="1:12" ht="15.75" customHeight="1" x14ac:dyDescent="0.3">
      <c r="A15" s="17" t="s">
        <v>92</v>
      </c>
      <c r="B15" s="14" t="s">
        <v>93</v>
      </c>
      <c r="C15" s="14" t="s">
        <v>94</v>
      </c>
      <c r="D15" s="18" t="s">
        <v>95</v>
      </c>
      <c r="E15" s="18" t="s">
        <v>96</v>
      </c>
      <c r="F15" s="18" t="s">
        <v>97</v>
      </c>
      <c r="G15" s="18" t="s">
        <v>56</v>
      </c>
      <c r="H15" s="18" t="s">
        <v>81</v>
      </c>
      <c r="I15" s="22" t="s">
        <v>50</v>
      </c>
      <c r="J15" s="17" t="s">
        <v>98</v>
      </c>
      <c r="K15" s="19">
        <v>4</v>
      </c>
      <c r="L15" s="19" t="s">
        <v>46</v>
      </c>
    </row>
    <row r="16" spans="1:12" ht="15.75" customHeight="1" x14ac:dyDescent="0.3">
      <c r="A16" s="20" t="s">
        <v>99</v>
      </c>
      <c r="B16" s="21" t="s">
        <v>100</v>
      </c>
      <c r="C16" s="21" t="s">
        <v>101</v>
      </c>
      <c r="D16" s="18" t="s">
        <v>102</v>
      </c>
      <c r="E16" s="22" t="s">
        <v>50</v>
      </c>
      <c r="F16" s="18" t="s">
        <v>103</v>
      </c>
      <c r="G16" s="18" t="s">
        <v>56</v>
      </c>
      <c r="H16" s="22" t="s">
        <v>50</v>
      </c>
      <c r="I16" s="18" t="s">
        <v>104</v>
      </c>
      <c r="J16" s="20" t="s">
        <v>98</v>
      </c>
      <c r="K16" s="23">
        <v>3</v>
      </c>
      <c r="L16" s="23" t="s">
        <v>58</v>
      </c>
    </row>
    <row r="17" spans="1:12" ht="15.75" customHeight="1" x14ac:dyDescent="0.3">
      <c r="A17" s="17" t="s">
        <v>105</v>
      </c>
      <c r="B17" s="14" t="s">
        <v>106</v>
      </c>
      <c r="C17" s="14" t="s">
        <v>107</v>
      </c>
      <c r="D17" s="22" t="s">
        <v>50</v>
      </c>
      <c r="E17" s="22" t="s">
        <v>50</v>
      </c>
      <c r="F17" s="18" t="s">
        <v>108</v>
      </c>
      <c r="G17" s="18" t="s">
        <v>109</v>
      </c>
      <c r="H17" s="22" t="s">
        <v>50</v>
      </c>
      <c r="I17" s="22" t="s">
        <v>50</v>
      </c>
      <c r="J17" s="17" t="s">
        <v>98</v>
      </c>
      <c r="K17" s="22">
        <v>1</v>
      </c>
      <c r="L17" s="22" t="s">
        <v>85</v>
      </c>
    </row>
    <row r="18" spans="1:12" ht="15.75" customHeight="1" x14ac:dyDescent="0.3">
      <c r="A18" s="20" t="s">
        <v>110</v>
      </c>
      <c r="B18" s="21" t="s">
        <v>111</v>
      </c>
      <c r="C18" s="21" t="s">
        <v>112</v>
      </c>
      <c r="D18" s="22" t="s">
        <v>50</v>
      </c>
      <c r="E18" s="22" t="s">
        <v>50</v>
      </c>
      <c r="F18" s="18" t="s">
        <v>113</v>
      </c>
      <c r="G18" s="22" t="s">
        <v>50</v>
      </c>
      <c r="H18" s="22" t="s">
        <v>50</v>
      </c>
      <c r="I18" s="22" t="s">
        <v>50</v>
      </c>
      <c r="J18" s="20" t="s">
        <v>88</v>
      </c>
      <c r="K18" s="22">
        <v>0</v>
      </c>
      <c r="L18" s="22" t="s">
        <v>85</v>
      </c>
    </row>
    <row r="19" spans="1:12" ht="15.75" customHeight="1" x14ac:dyDescent="0.3">
      <c r="A19" s="17" t="s">
        <v>114</v>
      </c>
      <c r="B19" s="14" t="s">
        <v>115</v>
      </c>
      <c r="C19" s="14" t="s">
        <v>116</v>
      </c>
      <c r="D19" s="18" t="s">
        <v>117</v>
      </c>
      <c r="E19" s="22" t="s">
        <v>50</v>
      </c>
      <c r="F19" s="18" t="s">
        <v>118</v>
      </c>
      <c r="G19" s="18" t="s">
        <v>56</v>
      </c>
      <c r="H19" s="18" t="s">
        <v>56</v>
      </c>
      <c r="I19" s="22" t="s">
        <v>50</v>
      </c>
      <c r="J19" s="17" t="s">
        <v>119</v>
      </c>
      <c r="K19" s="19">
        <v>4</v>
      </c>
      <c r="L19" s="19" t="s">
        <v>46</v>
      </c>
    </row>
    <row r="20" spans="1:12" ht="15.75" customHeight="1" x14ac:dyDescent="0.3">
      <c r="A20" s="20" t="s">
        <v>120</v>
      </c>
      <c r="B20" s="21" t="s">
        <v>121</v>
      </c>
      <c r="C20" s="21" t="s">
        <v>122</v>
      </c>
      <c r="D20" s="22" t="s">
        <v>50</v>
      </c>
      <c r="E20" s="22" t="s">
        <v>50</v>
      </c>
      <c r="F20" s="22" t="s">
        <v>50</v>
      </c>
      <c r="G20" s="22" t="s">
        <v>50</v>
      </c>
      <c r="H20" s="22" t="s">
        <v>50</v>
      </c>
      <c r="I20" s="22" t="s">
        <v>50</v>
      </c>
      <c r="J20" s="20" t="s">
        <v>52</v>
      </c>
      <c r="K20" s="22">
        <v>0</v>
      </c>
      <c r="L20" s="22" t="s">
        <v>85</v>
      </c>
    </row>
    <row r="21" spans="1:12" ht="15.75" customHeight="1" x14ac:dyDescent="0.3">
      <c r="A21" s="17" t="s">
        <v>123</v>
      </c>
      <c r="B21" s="14" t="s">
        <v>124</v>
      </c>
      <c r="C21" s="14" t="s">
        <v>125</v>
      </c>
      <c r="D21" s="18" t="s">
        <v>62</v>
      </c>
      <c r="E21" s="22" t="s">
        <v>50</v>
      </c>
      <c r="F21" s="18" t="s">
        <v>126</v>
      </c>
      <c r="G21" s="18" t="s">
        <v>56</v>
      </c>
      <c r="H21" s="22" t="s">
        <v>50</v>
      </c>
      <c r="I21" s="22" t="s">
        <v>50</v>
      </c>
      <c r="J21" s="17" t="s">
        <v>52</v>
      </c>
      <c r="K21" s="23">
        <v>2</v>
      </c>
      <c r="L21" s="23" t="s">
        <v>58</v>
      </c>
    </row>
    <row r="22" spans="1:12" ht="15.75" customHeight="1" x14ac:dyDescent="0.3">
      <c r="A22" s="20" t="s">
        <v>127</v>
      </c>
      <c r="B22" s="21" t="s">
        <v>128</v>
      </c>
      <c r="C22" s="21" t="s">
        <v>129</v>
      </c>
      <c r="D22" s="22" t="s">
        <v>50</v>
      </c>
      <c r="E22" s="22" t="s">
        <v>50</v>
      </c>
      <c r="F22" s="22" t="s">
        <v>50</v>
      </c>
      <c r="G22" s="18" t="s">
        <v>130</v>
      </c>
      <c r="H22" s="22" t="s">
        <v>50</v>
      </c>
      <c r="I22" s="22" t="s">
        <v>50</v>
      </c>
      <c r="J22" s="20" t="s">
        <v>52</v>
      </c>
      <c r="K22" s="22">
        <v>0</v>
      </c>
      <c r="L22" s="22" t="s">
        <v>85</v>
      </c>
    </row>
    <row r="23" spans="1:12" ht="15.75" customHeight="1" x14ac:dyDescent="0.3">
      <c r="A23" s="17" t="s">
        <v>131</v>
      </c>
      <c r="B23" s="14" t="s">
        <v>132</v>
      </c>
      <c r="C23" s="14" t="s">
        <v>133</v>
      </c>
      <c r="D23" s="22" t="s">
        <v>50</v>
      </c>
      <c r="E23" s="22" t="s">
        <v>50</v>
      </c>
      <c r="F23" s="22" t="s">
        <v>50</v>
      </c>
      <c r="G23" s="18" t="s">
        <v>130</v>
      </c>
      <c r="H23" s="22" t="s">
        <v>50</v>
      </c>
      <c r="I23" s="22" t="s">
        <v>50</v>
      </c>
      <c r="J23" s="17" t="s">
        <v>52</v>
      </c>
      <c r="K23" s="22">
        <v>0</v>
      </c>
      <c r="L23" s="22" t="s">
        <v>85</v>
      </c>
    </row>
    <row r="24" spans="1:12" ht="15.75" customHeight="1" x14ac:dyDescent="0.3">
      <c r="A24" s="20" t="s">
        <v>134</v>
      </c>
      <c r="B24" s="21" t="s">
        <v>135</v>
      </c>
      <c r="C24" s="21" t="s">
        <v>136</v>
      </c>
      <c r="D24" s="22" t="s">
        <v>50</v>
      </c>
      <c r="E24" s="22" t="s">
        <v>50</v>
      </c>
      <c r="F24" s="22" t="s">
        <v>50</v>
      </c>
      <c r="G24" s="18" t="s">
        <v>137</v>
      </c>
      <c r="H24" s="22" t="s">
        <v>50</v>
      </c>
      <c r="I24" s="22" t="s">
        <v>50</v>
      </c>
      <c r="J24" s="20" t="s">
        <v>52</v>
      </c>
      <c r="K24" s="22">
        <v>0</v>
      </c>
      <c r="L24" s="22" t="s">
        <v>85</v>
      </c>
    </row>
    <row r="25" spans="1:12" ht="15.75" customHeight="1" x14ac:dyDescent="0.3">
      <c r="A25" s="17" t="s">
        <v>138</v>
      </c>
      <c r="B25" s="14" t="s">
        <v>139</v>
      </c>
      <c r="C25" s="14" t="s">
        <v>140</v>
      </c>
      <c r="D25" s="18" t="s">
        <v>141</v>
      </c>
      <c r="E25" s="22" t="s">
        <v>50</v>
      </c>
      <c r="F25" s="22" t="s">
        <v>50</v>
      </c>
      <c r="G25" s="22" t="s">
        <v>50</v>
      </c>
      <c r="H25" s="22" t="s">
        <v>50</v>
      </c>
      <c r="I25" s="18" t="s">
        <v>104</v>
      </c>
      <c r="J25" s="17" t="s">
        <v>52</v>
      </c>
      <c r="K25" s="23">
        <v>2</v>
      </c>
      <c r="L25" s="23" t="s">
        <v>58</v>
      </c>
    </row>
    <row r="26" spans="1:12" ht="15.75" customHeight="1" x14ac:dyDescent="0.3">
      <c r="A26" s="20" t="s">
        <v>142</v>
      </c>
      <c r="B26" s="21" t="s">
        <v>143</v>
      </c>
      <c r="C26" s="21" t="s">
        <v>144</v>
      </c>
      <c r="D26" s="22" t="s">
        <v>50</v>
      </c>
      <c r="E26" s="22" t="s">
        <v>50</v>
      </c>
      <c r="F26" s="22" t="s">
        <v>50</v>
      </c>
      <c r="G26" s="22" t="s">
        <v>50</v>
      </c>
      <c r="H26" s="22" t="s">
        <v>50</v>
      </c>
      <c r="I26" s="22" t="s">
        <v>50</v>
      </c>
      <c r="J26" s="20" t="s">
        <v>82</v>
      </c>
      <c r="K26" s="22">
        <v>0</v>
      </c>
      <c r="L26" s="22" t="s">
        <v>85</v>
      </c>
    </row>
    <row r="28" spans="1:12" ht="19.5" customHeight="1" x14ac:dyDescent="0.3">
      <c r="A28" s="6" t="s">
        <v>145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ht="15.75" customHeight="1" x14ac:dyDescent="0.3">
      <c r="A29" s="1" t="s">
        <v>146</v>
      </c>
      <c r="B29" s="1"/>
      <c r="C29" s="1"/>
      <c r="D29" s="7">
        <f>COUNTA(B5:B26)</f>
        <v>22</v>
      </c>
      <c r="E29" s="7"/>
      <c r="F29" s="7"/>
      <c r="G29" s="7"/>
      <c r="H29" s="7"/>
      <c r="I29" s="7"/>
      <c r="J29" s="7"/>
      <c r="K29" s="7"/>
      <c r="L29" s="7"/>
    </row>
    <row r="30" spans="1:12" ht="15.75" customHeight="1" x14ac:dyDescent="0.3">
      <c r="A30" s="1" t="s">
        <v>147</v>
      </c>
      <c r="B30" s="1"/>
      <c r="C30" s="1"/>
      <c r="D30" s="7">
        <f>COUNTIF(D5:D26,"*ADMIN*")</f>
        <v>2</v>
      </c>
      <c r="E30" s="7"/>
      <c r="F30" s="7"/>
      <c r="G30" s="7"/>
      <c r="H30" s="7"/>
      <c r="I30" s="7"/>
      <c r="J30" s="7"/>
      <c r="K30" s="7"/>
      <c r="L30" s="7"/>
    </row>
    <row r="31" spans="1:12" ht="15.75" customHeight="1" x14ac:dyDescent="0.3">
      <c r="A31" s="1" t="s">
        <v>148</v>
      </c>
      <c r="B31" s="1"/>
      <c r="C31" s="1"/>
      <c r="D31" s="7">
        <f>MAX(K5:K26)</f>
        <v>5</v>
      </c>
      <c r="E31" s="7"/>
      <c r="F31" s="7"/>
      <c r="G31" s="7"/>
      <c r="H31" s="7"/>
      <c r="I31" s="7"/>
      <c r="J31" s="7"/>
      <c r="K31" s="7"/>
      <c r="L31" s="7"/>
    </row>
    <row r="32" spans="1:12" ht="15.75" customHeight="1" x14ac:dyDescent="0.3">
      <c r="A32" s="1" t="s">
        <v>149</v>
      </c>
      <c r="B32" s="1"/>
      <c r="C32" s="1"/>
      <c r="D32" s="7">
        <f>COUNTIF(E5:E26,"✅*")</f>
        <v>4</v>
      </c>
      <c r="E32" s="7"/>
      <c r="F32" s="7"/>
      <c r="G32" s="7"/>
      <c r="H32" s="7"/>
      <c r="I32" s="7"/>
      <c r="J32" s="7"/>
      <c r="K32" s="7"/>
      <c r="L32" s="7"/>
    </row>
    <row r="33" spans="1:12" ht="15.75" customHeight="1" x14ac:dyDescent="0.3">
      <c r="A33" s="1" t="s">
        <v>150</v>
      </c>
      <c r="B33" s="1"/>
      <c r="C33" s="1"/>
      <c r="D33" s="7" t="s">
        <v>151</v>
      </c>
      <c r="E33" s="7"/>
      <c r="F33" s="7"/>
      <c r="G33" s="7"/>
      <c r="H33" s="7"/>
      <c r="I33" s="7"/>
      <c r="J33" s="7"/>
      <c r="K33" s="7"/>
      <c r="L33" s="7"/>
    </row>
    <row r="34" spans="1:12" ht="15.75" customHeight="1" x14ac:dyDescent="0.3">
      <c r="A34" s="1" t="s">
        <v>152</v>
      </c>
      <c r="B34" s="1"/>
      <c r="C34" s="1"/>
      <c r="D34" s="7" t="s">
        <v>153</v>
      </c>
      <c r="E34" s="7"/>
      <c r="F34" s="7"/>
      <c r="G34" s="7"/>
      <c r="H34" s="7"/>
      <c r="I34" s="7"/>
      <c r="J34" s="7"/>
      <c r="K34" s="7"/>
      <c r="L34" s="7"/>
    </row>
  </sheetData>
  <autoFilter ref="A4:L26" xr:uid="{00000000-0009-0000-0000-000001000000}"/>
  <mergeCells count="16">
    <mergeCell ref="A33:C33"/>
    <mergeCell ref="D33:L33"/>
    <mergeCell ref="A34:C34"/>
    <mergeCell ref="D34:L34"/>
    <mergeCell ref="A30:C30"/>
    <mergeCell ref="D30:L30"/>
    <mergeCell ref="A31:C31"/>
    <mergeCell ref="D31:L31"/>
    <mergeCell ref="A32:C32"/>
    <mergeCell ref="D32:L32"/>
    <mergeCell ref="A1:L1"/>
    <mergeCell ref="A2:L2"/>
    <mergeCell ref="A3:L3"/>
    <mergeCell ref="A28:L28"/>
    <mergeCell ref="A29:C29"/>
    <mergeCell ref="D29:L2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IDENTITÉ</vt:lpstr>
      <vt:lpstr>REGISTRE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emna marzouki</cp:lastModifiedBy>
  <cp:revision>0</cp:revision>
  <dcterms:created xsi:type="dcterms:W3CDTF">2026-06-06T15:52:02Z</dcterms:created>
  <dcterms:modified xsi:type="dcterms:W3CDTF">2026-06-06T16:06:10Z</dcterms:modified>
  <dc:language>en-US</dc:language>
</cp:coreProperties>
</file>